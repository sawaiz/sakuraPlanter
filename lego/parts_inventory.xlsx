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ts checklist" sheetId="1" state="visible" r:id="rId3"/>
    <sheet name="Sources &amp; notes" sheetId="2" state="visible" r:id="rId4"/>
  </sheets>
  <definedNames>
    <definedName function="false" hidden="true" localSheetId="0" name="_xlnm._FilterDatabase" vbProcedure="false">'Parts checklist'!$A$11:$J$113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<sst xmlns="http://schemas.openxmlformats.org/spreadsheetml/2006/main" count="371" uniqueCount="216">
  <si>
    <t xml:space="preserve">LEGO 10280 Flower Bouquet + 40725 Cherry Blossoms: combined parts checklist</t>
  </si>
  <si>
    <t xml:space="preserve">Part numbers and colour names follow BrickLink. Type how many you have found into the yellow "Have" column; "Still missing" updates by itself.</t>
  </si>
  <si>
    <t xml:space="preserve">Pieces needed, 10280</t>
  </si>
  <si>
    <t xml:space="preserve">How to use</t>
  </si>
  <si>
    <t xml:space="preserve">Pieces needed, 40725</t>
  </si>
  <si>
    <t xml:space="preserve">Yellow cells are yours to fill in. Example: you count 50 red 2L axles, type 50 under "Have"; "Still missing" shows 7.</t>
  </si>
  <si>
    <t xml:space="preserve">Pieces needed, both sets</t>
  </si>
  <si>
    <t xml:space="preserve">"Spare parts" are the extras LEGO packs in each bag. They are not counted in "Needed".</t>
  </si>
  <si>
    <t xml:space="preserve">Pieces counted so far</t>
  </si>
  <si>
    <t xml:space="preserve">"Spotted in your video" marks parts I could clearly see in your video frames. Blank does not mean missing.</t>
  </si>
  <si>
    <t xml:space="preserve">Pieces still missing</t>
  </si>
  <si>
    <t xml:space="preserve">Sort or filter with the arrows on the header row.</t>
  </si>
  <si>
    <t xml:space="preserve">Lots (part + colour) fully found</t>
  </si>
  <si>
    <t xml:space="preserve">BrickLink part</t>
  </si>
  <si>
    <t xml:space="preserve">Colour</t>
  </si>
  <si>
    <t xml:space="preserve">Part name</t>
  </si>
  <si>
    <t xml:space="preserve">Needed for 10280</t>
  </si>
  <si>
    <t xml:space="preserve">Needed for 40725</t>
  </si>
  <si>
    <t xml:space="preserve">Needed (total)</t>
  </si>
  <si>
    <t xml:space="preserve">Spare parts in bags</t>
  </si>
  <si>
    <t xml:space="preserve">Spotted in your video</t>
  </si>
  <si>
    <t xml:space="preserve">Have</t>
  </si>
  <si>
    <t xml:space="preserve">Still missing</t>
  </si>
  <si>
    <t xml:space="preserve">23443</t>
  </si>
  <si>
    <t xml:space="preserve">Black</t>
  </si>
  <si>
    <t xml:space="preserve">Bar Holder with Handle</t>
  </si>
  <si>
    <t xml:space="preserve">3062</t>
  </si>
  <si>
    <t xml:space="preserve">Brick, Round 1 x 1</t>
  </si>
  <si>
    <t xml:space="preserve">68013</t>
  </si>
  <si>
    <t xml:space="preserve">Cylinder Half 1 x 2 x 1</t>
  </si>
  <si>
    <t xml:space="preserve">60478</t>
  </si>
  <si>
    <t xml:space="preserve">Plate, Modified 1 x 2 with Bar Handle on End</t>
  </si>
  <si>
    <t xml:space="preserve">2817</t>
  </si>
  <si>
    <t xml:space="preserve">Plate, Modified 2 x 2 with Pin Holes</t>
  </si>
  <si>
    <t xml:space="preserve">32062</t>
  </si>
  <si>
    <t xml:space="preserve">Technic, Axle 2L Notched</t>
  </si>
  <si>
    <t xml:space="preserve">10197</t>
  </si>
  <si>
    <t xml:space="preserve">Technic, Axle and Pin Connector Hub with 2 Perpendicular Axles</t>
  </si>
  <si>
    <t xml:space="preserve">32054</t>
  </si>
  <si>
    <t xml:space="preserve">Technic, Pin 3L with Friction Ridges and Stop Bush</t>
  </si>
  <si>
    <t xml:space="preserve">90202</t>
  </si>
  <si>
    <t xml:space="preserve">Technic, Pin Connector Round with 4 Clips</t>
  </si>
  <si>
    <t xml:space="preserve">4589b</t>
  </si>
  <si>
    <t xml:space="preserve">Bright Pink</t>
  </si>
  <si>
    <t xml:space="preserve">Cone 1 x 1 with Top Groove</t>
  </si>
  <si>
    <t xml:space="preserve">Yes</t>
  </si>
  <si>
    <t xml:space="preserve">39262</t>
  </si>
  <si>
    <t xml:space="preserve">Minifigure, Headgear Crown Eggshell with 5 Points and Center Stud</t>
  </si>
  <si>
    <t xml:space="preserve">24866</t>
  </si>
  <si>
    <t xml:space="preserve">Plate, Round 1 x 1 with Flower Edge (5 Petals)</t>
  </si>
  <si>
    <t xml:space="preserve">15470</t>
  </si>
  <si>
    <t xml:space="preserve">Plate, Round 1 x 1 with Vertical Swirl / Twist</t>
  </si>
  <si>
    <t xml:space="preserve">32039</t>
  </si>
  <si>
    <t xml:space="preserve">Dark Bluish Gray</t>
  </si>
  <si>
    <t xml:space="preserve">Technic, Axle Connector with Axle Hole</t>
  </si>
  <si>
    <t xml:space="preserve">89678</t>
  </si>
  <si>
    <t xml:space="preserve">Technic, Pin 1/2 with Friction Ridges</t>
  </si>
  <si>
    <t xml:space="preserve">98088pb05</t>
  </si>
  <si>
    <t xml:space="preserve">Dark Green</t>
  </si>
  <si>
    <t xml:space="preserve">Dinosaur Wing Pteranodon - Left with Marbled Sand Green Edge</t>
  </si>
  <si>
    <t xml:space="preserve">6064</t>
  </si>
  <si>
    <t xml:space="preserve">Plant Prickly Bush 2 x 2 x 4</t>
  </si>
  <si>
    <t xml:space="preserve">3021</t>
  </si>
  <si>
    <t xml:space="preserve">Plate 2 x 3</t>
  </si>
  <si>
    <t xml:space="preserve">3034</t>
  </si>
  <si>
    <t xml:space="preserve">Plate 2 x 8</t>
  </si>
  <si>
    <t xml:space="preserve">15573</t>
  </si>
  <si>
    <t xml:space="preserve">Plate, Modified 1 x 2 with 1 Stud with Groove and Bottom Stud Holder</t>
  </si>
  <si>
    <t xml:space="preserve">85861</t>
  </si>
  <si>
    <t xml:space="preserve">Plate, Round 1 x 1 with Open Stud</t>
  </si>
  <si>
    <t xml:space="preserve">4032</t>
  </si>
  <si>
    <t xml:space="preserve">Plate, Round 2 x 2 with Axle Hole</t>
  </si>
  <si>
    <t xml:space="preserve">32803</t>
  </si>
  <si>
    <t xml:space="preserve">Slope, Curved 2 x 2 x 2/3 Inverted</t>
  </si>
  <si>
    <t xml:space="preserve">26287</t>
  </si>
  <si>
    <t xml:space="preserve">Technic, Axle Connector 3L</t>
  </si>
  <si>
    <t xml:space="preserve">32016</t>
  </si>
  <si>
    <t xml:space="preserve">Technic, Axle and Pin Connector Angled #3 - 157.5 degrees</t>
  </si>
  <si>
    <t xml:space="preserve">67811</t>
  </si>
  <si>
    <t xml:space="preserve">Vehicle, Steering Wheel with 2 x 2 Center and Axle Hole</t>
  </si>
  <si>
    <t xml:space="preserve">98100</t>
  </si>
  <si>
    <t xml:space="preserve">Dark Pink</t>
  </si>
  <si>
    <t xml:space="preserve">Cone 2 x 2 Truncated</t>
  </si>
  <si>
    <t xml:space="preserve">61252</t>
  </si>
  <si>
    <t xml:space="preserve">Dark Purple</t>
  </si>
  <si>
    <t xml:space="preserve">Plate, Modified 1 x 1 with Open O Clip</t>
  </si>
  <si>
    <t xml:space="preserve">18674</t>
  </si>
  <si>
    <t xml:space="preserve">Tile, Round 2 x 2 with Open Stud</t>
  </si>
  <si>
    <t xml:space="preserve">65578</t>
  </si>
  <si>
    <t xml:space="preserve">Dark Red</t>
  </si>
  <si>
    <t xml:space="preserve">Bar 1L with Angled Hollow Stud</t>
  </si>
  <si>
    <t xml:space="preserve">96874</t>
  </si>
  <si>
    <t xml:space="preserve">Dark Turquoise</t>
  </si>
  <si>
    <t xml:space="preserve">Brick and Axle Separator</t>
  </si>
  <si>
    <t xml:space="preserve">3941</t>
  </si>
  <si>
    <t xml:space="preserve">Green</t>
  </si>
  <si>
    <t xml:space="preserve">Brick, Round 2 x 2 with Axle Hole</t>
  </si>
  <si>
    <t xml:space="preserve">60470b</t>
  </si>
  <si>
    <t xml:space="preserve">Plate, Modified 1 x 2 with 2 Open O Clips</t>
  </si>
  <si>
    <t xml:space="preserve">48336</t>
  </si>
  <si>
    <t xml:space="preserve">Plate, Modified 1 x 2 with Bar Handle on Side - Closed Ends</t>
  </si>
  <si>
    <t xml:space="preserve">Lavender</t>
  </si>
  <si>
    <t xml:space="preserve">4519</t>
  </si>
  <si>
    <t xml:space="preserve">Light Bluish Gray</t>
  </si>
  <si>
    <t xml:space="preserve">Technic, Axle 3L</t>
  </si>
  <si>
    <t xml:space="preserve">11476</t>
  </si>
  <si>
    <t xml:space="preserve">Light Nougat</t>
  </si>
  <si>
    <t xml:space="preserve">Plate, Modified 1 x 2 with Clip on Side</t>
  </si>
  <si>
    <t xml:space="preserve">3069</t>
  </si>
  <si>
    <t xml:space="preserve">Tile 1 x 2</t>
  </si>
  <si>
    <t xml:space="preserve">98835</t>
  </si>
  <si>
    <t xml:space="preserve">Vehicle, Mudguard 3 x 4 x 1 2/3 Curved Front</t>
  </si>
  <si>
    <t xml:space="preserve">93604</t>
  </si>
  <si>
    <t xml:space="preserve">Wedge 3 x 4 x 2/3 Triple Curved</t>
  </si>
  <si>
    <t xml:space="preserve">4733</t>
  </si>
  <si>
    <t xml:space="preserve">Lime</t>
  </si>
  <si>
    <t xml:space="preserve">Brick, Modified 1 x 1 with Studs on 4 Sides</t>
  </si>
  <si>
    <t xml:space="preserve">32607</t>
  </si>
  <si>
    <t xml:space="preserve">Plant Plate, Round 1 x 1 with 3 Layered Leaves</t>
  </si>
  <si>
    <t xml:space="preserve">3022</t>
  </si>
  <si>
    <t xml:space="preserve">Plate 2 x 2</t>
  </si>
  <si>
    <t xml:space="preserve">6538c</t>
  </si>
  <si>
    <t xml:space="preserve">Technic, Axle Connector 2L</t>
  </si>
  <si>
    <t xml:space="preserve">553</t>
  </si>
  <si>
    <t xml:space="preserve">Magenta</t>
  </si>
  <si>
    <t xml:space="preserve">Brick, Round 2 x 2 Dome Top</t>
  </si>
  <si>
    <t xml:space="preserve">15469</t>
  </si>
  <si>
    <t xml:space="preserve">Plant Leaves 2 x 2 with 4 Petals and Axle Hole</t>
  </si>
  <si>
    <t xml:space="preserve">Medium Lavender</t>
  </si>
  <si>
    <t xml:space="preserve">2540</t>
  </si>
  <si>
    <t xml:space="preserve">Orange</t>
  </si>
  <si>
    <t xml:space="preserve">Plate, Modified 1 x 2 with Bar Handle on Side - Free Ends</t>
  </si>
  <si>
    <t xml:space="preserve">50950</t>
  </si>
  <si>
    <t xml:space="preserve">Slope, Curved 3 x 1</t>
  </si>
  <si>
    <t xml:space="preserve">64225</t>
  </si>
  <si>
    <t xml:space="preserve">Wedge 4 x 3 Triple Curved No Studs</t>
  </si>
  <si>
    <t xml:space="preserve">Pearl Gold</t>
  </si>
  <si>
    <t xml:space="preserve">Minifigure, Headgear Crown Eggshell with 5 Points</t>
  </si>
  <si>
    <t xml:space="preserve">20482</t>
  </si>
  <si>
    <t xml:space="preserve">Tile, Round 1 x 1 with Bar and Small Pin Hole</t>
  </si>
  <si>
    <t xml:space="preserve">Red</t>
  </si>
  <si>
    <t xml:space="preserve">48729b</t>
  </si>
  <si>
    <t xml:space="preserve">Reddish Brown</t>
  </si>
  <si>
    <t xml:space="preserve">Bar 1L with Clip Mechanical Claw - Cut Edges and Hole on Side</t>
  </si>
  <si>
    <t xml:space="preserve">78258</t>
  </si>
  <si>
    <t xml:space="preserve">Bar 2L with Stop Ring</t>
  </si>
  <si>
    <t xml:space="preserve">30374</t>
  </si>
  <si>
    <t xml:space="preserve">Bar 4L</t>
  </si>
  <si>
    <t xml:space="preserve">63965</t>
  </si>
  <si>
    <t xml:space="preserve">Bar 6L with Stop Ring</t>
  </si>
  <si>
    <t xml:space="preserve">13564</t>
  </si>
  <si>
    <t xml:space="preserve">Cattle Horn, Long</t>
  </si>
  <si>
    <t xml:space="preserve">24855</t>
  </si>
  <si>
    <t xml:space="preserve">Plant Flower Stem with Bar Holder, Bar, and 3 Stems</t>
  </si>
  <si>
    <t xml:space="preserve">68211</t>
  </si>
  <si>
    <t xml:space="preserve">Plant Flower Stem with Bar and 3 Stems Short</t>
  </si>
  <si>
    <t xml:space="preserve">33183</t>
  </si>
  <si>
    <t xml:space="preserve">Plant Stem with Bar</t>
  </si>
  <si>
    <t xml:space="preserve">Technic, Axle Connector 2L (Smooth with x Hole + Orientation)</t>
  </si>
  <si>
    <t xml:space="preserve">24122</t>
  </si>
  <si>
    <t xml:space="preserve">Technic, Axle Connector Hub with 2 Bar Holders Perpendicular</t>
  </si>
  <si>
    <t xml:space="preserve">32034</t>
  </si>
  <si>
    <t xml:space="preserve">Technic, Axle and Pin Connector Angled #2 - 180 degrees</t>
  </si>
  <si>
    <t xml:space="preserve">15712</t>
  </si>
  <si>
    <t xml:space="preserve">Tile, Modified 1 x 1 with Open O Clip</t>
  </si>
  <si>
    <t xml:space="preserve">Sand Green</t>
  </si>
  <si>
    <t xml:space="preserve">15362</t>
  </si>
  <si>
    <t xml:space="preserve">Hero Factory Weapon, Claw Wide Curved</t>
  </si>
  <si>
    <t xml:space="preserve">90397</t>
  </si>
  <si>
    <t xml:space="preserve">Minifigure, Utensil Surfboard Standard</t>
  </si>
  <si>
    <t xml:space="preserve">75937</t>
  </si>
  <si>
    <t xml:space="preserve">Plate, Modified 2 x 2 with Bar Frame Octagonal</t>
  </si>
  <si>
    <t xml:space="preserve">98284</t>
  </si>
  <si>
    <t xml:space="preserve">Plate, Round 2 x 2 with Pin Hole and 4 Bar Arms Up</t>
  </si>
  <si>
    <t xml:space="preserve">15068</t>
  </si>
  <si>
    <t xml:space="preserve">Slope, Curved 2 x 2 x 2/3</t>
  </si>
  <si>
    <t xml:space="preserve">50450</t>
  </si>
  <si>
    <t xml:space="preserve">Technic, Axle 32L</t>
  </si>
  <si>
    <t xml:space="preserve">45301</t>
  </si>
  <si>
    <t xml:space="preserve">Wedge 16 x 4 Triple Curved with Reinforcements</t>
  </si>
  <si>
    <t xml:space="preserve">2566</t>
  </si>
  <si>
    <t xml:space="preserve">Tan</t>
  </si>
  <si>
    <t xml:space="preserve">Bar 1.2L with Top Stud and 4 Bar Arms Up</t>
  </si>
  <si>
    <t xml:space="preserve">99207</t>
  </si>
  <si>
    <t xml:space="preserve">Bracket 1 x 2 - 2 x 2 Inverted</t>
  </si>
  <si>
    <t xml:space="preserve">87580</t>
  </si>
  <si>
    <t xml:space="preserve">Plate, Modified 2 x 2 with Groove and 1 Stud in Center</t>
  </si>
  <si>
    <t xml:space="preserve">47458</t>
  </si>
  <si>
    <t xml:space="preserve">Slope, Curved 1 x 2 x 2/3 Wing End</t>
  </si>
  <si>
    <t xml:space="preserve">White</t>
  </si>
  <si>
    <t xml:space="preserve">49668</t>
  </si>
  <si>
    <t xml:space="preserve">Plate, Modified 1 x 1 with Tooth Horizontal</t>
  </si>
  <si>
    <t xml:space="preserve">35480</t>
  </si>
  <si>
    <t xml:space="preserve">Plate, Round 1 x 2 with Open Studs</t>
  </si>
  <si>
    <t xml:space="preserve">11090</t>
  </si>
  <si>
    <t xml:space="preserve">Yellow</t>
  </si>
  <si>
    <t xml:space="preserve">Bar Holder with Clip</t>
  </si>
  <si>
    <t xml:space="preserve">67329</t>
  </si>
  <si>
    <t xml:space="preserve">Brick, Modified 1 x 2 x 1 2/3 with Studs on Side and Ends</t>
  </si>
  <si>
    <t xml:space="preserve">14769</t>
  </si>
  <si>
    <t xml:space="preserve">Tile, Round 2 x 2 with Bottom Stud Holder</t>
  </si>
  <si>
    <t xml:space="preserve">Yellowish Green</t>
  </si>
  <si>
    <t xml:space="preserve">Total</t>
  </si>
  <si>
    <t xml:space="preserve">Set</t>
  </si>
  <si>
    <t xml:space="preserve">Pieces (BrickLink, excluding spares)</t>
  </si>
  <si>
    <t xml:space="preserve">Spares</t>
  </si>
  <si>
    <t xml:space="preserve">Source</t>
  </si>
  <si>
    <t xml:space="preserve">10280 Flower Bouquet (2021)</t>
  </si>
  <si>
    <t xml:space="preserve">https://www.bricklink.com/catalogItemInv.asp?S=10280-1</t>
  </si>
  <si>
    <t xml:space="preserve">40725 Cherry Blossoms (2024)</t>
  </si>
  <si>
    <t xml:space="preserve">https://www.bricklink.com/catalogItemInv.asp?S=40725-1</t>
  </si>
  <si>
    <t xml:space="preserve">Notes</t>
  </si>
  <si>
    <t xml:space="preserve">LEGO lists 10280 as 756 pieces and 40725 as 430. BrickLink counts 438 for 40725: it lists 12 of the short three-stem plant pieces (68211) where LEGO's own list on Brickset shows 4. If you end up 8 short on 68211, that is why.</t>
  </si>
  <si>
    <t xml:space="preserve">Colour names are BrickLink's. LEGO calls Bright Pink "Light Purple", Dark Pink "Bright Purple" and Magenta "Bright Reddish Violet".</t>
  </si>
  <si>
    <t xml:space="preserve">Parts that appear in both sets (same part and colour) are merged into one row: Light Bluish Gray 3L axle and Reddish Brown three-stem plant (24855).</t>
  </si>
  <si>
    <t xml:space="preserve">Cross-check: Brickset inventories at https://brickset.com/inventories/10280-1 and https://brickset.com/inventories/40725-1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</si>
</sst>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4F45"/>
        <bgColor rgb="FF555555"/>
      </patternFill>
    </fill>
    <fill>
      <patternFill patternType="solid">
        <fgColor rgb="FFFFF2B3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4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2F4F4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2B3"/>
          <bgColor rgb="FF000000"/>
        </patternFill>
      </fill>
    </dxf>
    <dxf>
      <fill>
        <patternFill>
          <bgColor rgb="FFCDEBD8"/>
        </patternFill>
      </fill>
    </dxf>
    <dxf>
      <fill>
        <patternFill>
          <bgColor rgb="FFF8D3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B3"/>
      <rgbColor rgb="FFCCFFFF"/>
      <rgbColor rgb="FF660066"/>
      <rgbColor rgb="FFFF8080"/>
      <rgbColor rgb="FF0066CC"/>
      <rgbColor rgb="FFD0D4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DEBD8"/>
      <rgbColor rgb="FFFFFF99"/>
      <rgbColor rgb="FF99CCFF"/>
      <rgbColor rgb="FFFF99CC"/>
      <rgbColor rgb="FFCC99FF"/>
      <rgbColor rgb="FFF8D3D3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4F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1" topLeftCell="D12" activePane="bottomRight" state="frozen"/>
      <selection pane="topLeft" activeCell="A1" activeCellId="0" sqref="A1"/>
      <selection pane="topRight" activeCell="D1" activeCellId="0" sqref="D1"/>
      <selection pane="bottomLeft" activeCell="A12" activeCellId="0" sqref="A1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7"/>
    <col collapsed="false" customWidth="true" hidden="false" outlineLevel="0" max="3" min="3" style="0" width="60"/>
    <col collapsed="false" customWidth="true" hidden="false" outlineLevel="0" max="7" min="4" style="0" width="11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D3" s="4" t="n">
        <f aca="false">SUM(D12:D113)</f>
        <v>756</v>
      </c>
      <c r="F3" s="3" t="s">
        <v>3</v>
      </c>
    </row>
    <row r="4" customFormat="false" ht="15" hidden="false" customHeight="false" outlineLevel="0" collapsed="false">
      <c r="A4" s="3" t="s">
        <v>4</v>
      </c>
      <c r="D4" s="4" t="n">
        <f aca="false">SUM(E12:E113)</f>
        <v>438</v>
      </c>
      <c r="F4" s="5" t="s">
        <v>5</v>
      </c>
    </row>
    <row r="5" customFormat="false" ht="15" hidden="false" customHeight="false" outlineLevel="0" collapsed="false">
      <c r="A5" s="3" t="s">
        <v>6</v>
      </c>
      <c r="D5" s="4" t="n">
        <f aca="false">SUM(F12:F113)</f>
        <v>1194</v>
      </c>
      <c r="F5" s="5" t="s">
        <v>7</v>
      </c>
    </row>
    <row r="6" customFormat="false" ht="15" hidden="false" customHeight="false" outlineLevel="0" collapsed="false">
      <c r="A6" s="3" t="s">
        <v>8</v>
      </c>
      <c r="D6" s="4" t="n">
        <f aca="false">SUM(I12:I113)</f>
        <v>0</v>
      </c>
      <c r="F6" s="5" t="s">
        <v>9</v>
      </c>
    </row>
    <row r="7" customFormat="false" ht="15" hidden="false" customHeight="false" outlineLevel="0" collapsed="false">
      <c r="A7" s="3" t="s">
        <v>10</v>
      </c>
      <c r="D7" s="4" t="n">
        <f aca="false">SUM(J12:J113)</f>
        <v>1194</v>
      </c>
      <c r="F7" s="5" t="s">
        <v>11</v>
      </c>
    </row>
    <row r="8" customFormat="false" ht="15" hidden="false" customHeight="false" outlineLevel="0" collapsed="false">
      <c r="A8" s="3" t="s">
        <v>12</v>
      </c>
      <c r="D8" s="4" t="str">
        <f aca="false">COUNTIFS(J12:J113,0,I12:I113,"&gt;0")&amp;" of 102"</f>
        <v>0 of 102</v>
      </c>
    </row>
    <row r="11" customFormat="false" ht="30" hidden="false" customHeight="true" outlineLevel="0" collapsed="false">
      <c r="A11" s="6" t="s">
        <v>13</v>
      </c>
      <c r="B11" s="6" t="s">
        <v>14</v>
      </c>
      <c r="C11" s="6" t="s">
        <v>15</v>
      </c>
      <c r="D11" s="6" t="s">
        <v>16</v>
      </c>
      <c r="E11" s="6" t="s">
        <v>17</v>
      </c>
      <c r="F11" s="6" t="s">
        <v>18</v>
      </c>
      <c r="G11" s="6" t="s">
        <v>19</v>
      </c>
      <c r="H11" s="6" t="s">
        <v>20</v>
      </c>
      <c r="I11" s="6" t="s">
        <v>21</v>
      </c>
      <c r="J11" s="6" t="s">
        <v>22</v>
      </c>
    </row>
    <row r="12" customFormat="false" ht="15" hidden="false" customHeight="false" outlineLevel="0" collapsed="false">
      <c r="A12" s="7" t="s">
        <v>23</v>
      </c>
      <c r="B12" s="8" t="s">
        <v>24</v>
      </c>
      <c r="C12" s="8" t="s">
        <v>25</v>
      </c>
      <c r="D12" s="9" t="n">
        <v>8</v>
      </c>
      <c r="E12" s="9"/>
      <c r="F12" s="10" t="n">
        <f aca="false">SUM(D12:E12)</f>
        <v>8</v>
      </c>
      <c r="G12" s="9"/>
      <c r="H12" s="10"/>
      <c r="I12" s="11"/>
      <c r="J12" s="10" t="n">
        <f aca="false">MAX(0,F12-N(I12))</f>
        <v>8</v>
      </c>
    </row>
    <row r="13" customFormat="false" ht="15" hidden="false" customHeight="false" outlineLevel="0" collapsed="false">
      <c r="A13" s="7" t="s">
        <v>26</v>
      </c>
      <c r="B13" s="8" t="s">
        <v>24</v>
      </c>
      <c r="C13" s="8" t="s">
        <v>27</v>
      </c>
      <c r="D13" s="9" t="n">
        <v>4</v>
      </c>
      <c r="E13" s="9"/>
      <c r="F13" s="10" t="n">
        <f aca="false">SUM(D13:E13)</f>
        <v>4</v>
      </c>
      <c r="G13" s="9"/>
      <c r="H13" s="10"/>
      <c r="I13" s="11"/>
      <c r="J13" s="10" t="n">
        <f aca="false">MAX(0,F13-N(I13))</f>
        <v>4</v>
      </c>
    </row>
    <row r="14" customFormat="false" ht="15" hidden="false" customHeight="false" outlineLevel="0" collapsed="false">
      <c r="A14" s="7" t="s">
        <v>28</v>
      </c>
      <c r="B14" s="8" t="s">
        <v>24</v>
      </c>
      <c r="C14" s="8" t="s">
        <v>29</v>
      </c>
      <c r="D14" s="9" t="n">
        <v>2</v>
      </c>
      <c r="E14" s="9"/>
      <c r="F14" s="10" t="n">
        <f aca="false">SUM(D14:E14)</f>
        <v>2</v>
      </c>
      <c r="G14" s="9"/>
      <c r="H14" s="10"/>
      <c r="I14" s="11"/>
      <c r="J14" s="10" t="n">
        <f aca="false">MAX(0,F14-N(I14))</f>
        <v>2</v>
      </c>
    </row>
    <row r="15" customFormat="false" ht="15" hidden="false" customHeight="false" outlineLevel="0" collapsed="false">
      <c r="A15" s="7" t="s">
        <v>30</v>
      </c>
      <c r="B15" s="8" t="s">
        <v>24</v>
      </c>
      <c r="C15" s="8" t="s">
        <v>31</v>
      </c>
      <c r="D15" s="9" t="n">
        <v>4</v>
      </c>
      <c r="E15" s="9"/>
      <c r="F15" s="10" t="n">
        <f aca="false">SUM(D15:E15)</f>
        <v>4</v>
      </c>
      <c r="G15" s="9"/>
      <c r="H15" s="10"/>
      <c r="I15" s="11"/>
      <c r="J15" s="10" t="n">
        <f aca="false">MAX(0,F15-N(I15))</f>
        <v>4</v>
      </c>
    </row>
    <row r="16" customFormat="false" ht="15" hidden="false" customHeight="false" outlineLevel="0" collapsed="false">
      <c r="A16" s="7" t="s">
        <v>32</v>
      </c>
      <c r="B16" s="8" t="s">
        <v>24</v>
      </c>
      <c r="C16" s="8" t="s">
        <v>33</v>
      </c>
      <c r="D16" s="9" t="n">
        <v>3</v>
      </c>
      <c r="E16" s="9"/>
      <c r="F16" s="10" t="n">
        <f aca="false">SUM(D16:E16)</f>
        <v>3</v>
      </c>
      <c r="G16" s="9"/>
      <c r="H16" s="10"/>
      <c r="I16" s="11"/>
      <c r="J16" s="10" t="n">
        <f aca="false">MAX(0,F16-N(I16))</f>
        <v>3</v>
      </c>
    </row>
    <row r="17" customFormat="false" ht="15" hidden="false" customHeight="false" outlineLevel="0" collapsed="false">
      <c r="A17" s="7" t="s">
        <v>34</v>
      </c>
      <c r="B17" s="8" t="s">
        <v>24</v>
      </c>
      <c r="C17" s="8" t="s">
        <v>35</v>
      </c>
      <c r="D17" s="9"/>
      <c r="E17" s="9" t="n">
        <v>28</v>
      </c>
      <c r="F17" s="10" t="n">
        <f aca="false">SUM(D17:E17)</f>
        <v>28</v>
      </c>
      <c r="G17" s="9"/>
      <c r="H17" s="10"/>
      <c r="I17" s="11"/>
      <c r="J17" s="10" t="n">
        <f aca="false">MAX(0,F17-N(I17))</f>
        <v>28</v>
      </c>
    </row>
    <row r="18" customFormat="false" ht="15" hidden="false" customHeight="false" outlineLevel="0" collapsed="false">
      <c r="A18" s="7" t="s">
        <v>36</v>
      </c>
      <c r="B18" s="8" t="s">
        <v>24</v>
      </c>
      <c r="C18" s="8" t="s">
        <v>37</v>
      </c>
      <c r="D18" s="9" t="n">
        <v>2</v>
      </c>
      <c r="E18" s="9"/>
      <c r="F18" s="10" t="n">
        <f aca="false">SUM(D18:E18)</f>
        <v>2</v>
      </c>
      <c r="G18" s="9"/>
      <c r="H18" s="10"/>
      <c r="I18" s="11"/>
      <c r="J18" s="10" t="n">
        <f aca="false">MAX(0,F18-N(I18))</f>
        <v>2</v>
      </c>
    </row>
    <row r="19" customFormat="false" ht="15" hidden="false" customHeight="false" outlineLevel="0" collapsed="false">
      <c r="A19" s="7" t="s">
        <v>38</v>
      </c>
      <c r="B19" s="8" t="s">
        <v>24</v>
      </c>
      <c r="C19" s="8" t="s">
        <v>39</v>
      </c>
      <c r="D19" s="9" t="n">
        <v>6</v>
      </c>
      <c r="E19" s="9"/>
      <c r="F19" s="10" t="n">
        <f aca="false">SUM(D19:E19)</f>
        <v>6</v>
      </c>
      <c r="G19" s="9"/>
      <c r="H19" s="10"/>
      <c r="I19" s="11"/>
      <c r="J19" s="10" t="n">
        <f aca="false">MAX(0,F19-N(I19))</f>
        <v>6</v>
      </c>
    </row>
    <row r="20" customFormat="false" ht="15" hidden="false" customHeight="false" outlineLevel="0" collapsed="false">
      <c r="A20" s="7" t="s">
        <v>40</v>
      </c>
      <c r="B20" s="8" t="s">
        <v>24</v>
      </c>
      <c r="C20" s="8" t="s">
        <v>41</v>
      </c>
      <c r="D20" s="9" t="n">
        <v>6</v>
      </c>
      <c r="E20" s="9"/>
      <c r="F20" s="10" t="n">
        <f aca="false">SUM(D20:E20)</f>
        <v>6</v>
      </c>
      <c r="G20" s="9"/>
      <c r="H20" s="10"/>
      <c r="I20" s="11"/>
      <c r="J20" s="10" t="n">
        <f aca="false">MAX(0,F20-N(I20))</f>
        <v>6</v>
      </c>
    </row>
    <row r="21" customFormat="false" ht="15" hidden="false" customHeight="false" outlineLevel="0" collapsed="false">
      <c r="A21" s="7" t="s">
        <v>42</v>
      </c>
      <c r="B21" s="8" t="s">
        <v>43</v>
      </c>
      <c r="C21" s="8" t="s">
        <v>44</v>
      </c>
      <c r="D21" s="9" t="n">
        <v>16</v>
      </c>
      <c r="E21" s="9"/>
      <c r="F21" s="10" t="n">
        <f aca="false">SUM(D21:E21)</f>
        <v>16</v>
      </c>
      <c r="G21" s="9" t="n">
        <v>1</v>
      </c>
      <c r="H21" s="10" t="s">
        <v>45</v>
      </c>
      <c r="I21" s="11"/>
      <c r="J21" s="10" t="n">
        <f aca="false">MAX(0,F21-N(I21))</f>
        <v>16</v>
      </c>
    </row>
    <row r="22" customFormat="false" ht="15" hidden="false" customHeight="false" outlineLevel="0" collapsed="false">
      <c r="A22" s="7" t="s">
        <v>46</v>
      </c>
      <c r="B22" s="8" t="s">
        <v>43</v>
      </c>
      <c r="C22" s="8" t="s">
        <v>47</v>
      </c>
      <c r="D22" s="9"/>
      <c r="E22" s="9" t="n">
        <v>37</v>
      </c>
      <c r="F22" s="10" t="n">
        <f aca="false">SUM(D22:E22)</f>
        <v>37</v>
      </c>
      <c r="G22" s="9"/>
      <c r="H22" s="10" t="s">
        <v>45</v>
      </c>
      <c r="I22" s="11"/>
      <c r="J22" s="10" t="n">
        <f aca="false">MAX(0,F22-N(I22))</f>
        <v>37</v>
      </c>
    </row>
    <row r="23" customFormat="false" ht="15" hidden="false" customHeight="false" outlineLevel="0" collapsed="false">
      <c r="A23" s="7" t="s">
        <v>48</v>
      </c>
      <c r="B23" s="8" t="s">
        <v>43</v>
      </c>
      <c r="C23" s="8" t="s">
        <v>49</v>
      </c>
      <c r="D23" s="9"/>
      <c r="E23" s="9" t="n">
        <v>37</v>
      </c>
      <c r="F23" s="10" t="n">
        <f aca="false">SUM(D23:E23)</f>
        <v>37</v>
      </c>
      <c r="G23" s="9" t="n">
        <v>1</v>
      </c>
      <c r="H23" s="10"/>
      <c r="I23" s="11"/>
      <c r="J23" s="10" t="n">
        <f aca="false">MAX(0,F23-N(I23))</f>
        <v>37</v>
      </c>
    </row>
    <row r="24" customFormat="false" ht="15" hidden="false" customHeight="false" outlineLevel="0" collapsed="false">
      <c r="A24" s="7" t="s">
        <v>50</v>
      </c>
      <c r="B24" s="8" t="s">
        <v>43</v>
      </c>
      <c r="C24" s="8" t="s">
        <v>51</v>
      </c>
      <c r="D24" s="9"/>
      <c r="E24" s="9" t="n">
        <v>6</v>
      </c>
      <c r="F24" s="10" t="n">
        <f aca="false">SUM(D24:E24)</f>
        <v>6</v>
      </c>
      <c r="G24" s="9" t="n">
        <v>1</v>
      </c>
      <c r="H24" s="10"/>
      <c r="I24" s="11"/>
      <c r="J24" s="10" t="n">
        <f aca="false">MAX(0,F24-N(I24))</f>
        <v>6</v>
      </c>
    </row>
    <row r="25" customFormat="false" ht="15" hidden="false" customHeight="false" outlineLevel="0" collapsed="false">
      <c r="A25" s="7" t="s">
        <v>52</v>
      </c>
      <c r="B25" s="8" t="s">
        <v>53</v>
      </c>
      <c r="C25" s="8" t="s">
        <v>54</v>
      </c>
      <c r="D25" s="9" t="n">
        <v>4</v>
      </c>
      <c r="E25" s="9"/>
      <c r="F25" s="10" t="n">
        <f aca="false">SUM(D25:E25)</f>
        <v>4</v>
      </c>
      <c r="G25" s="9"/>
      <c r="H25" s="10"/>
      <c r="I25" s="11"/>
      <c r="J25" s="10" t="n">
        <f aca="false">MAX(0,F25-N(I25))</f>
        <v>4</v>
      </c>
    </row>
    <row r="26" customFormat="false" ht="15" hidden="false" customHeight="false" outlineLevel="0" collapsed="false">
      <c r="A26" s="7" t="s">
        <v>55</v>
      </c>
      <c r="B26" s="8" t="s">
        <v>53</v>
      </c>
      <c r="C26" s="8" t="s">
        <v>56</v>
      </c>
      <c r="D26" s="9"/>
      <c r="E26" s="9" t="n">
        <v>12</v>
      </c>
      <c r="F26" s="10" t="n">
        <f aca="false">SUM(D26:E26)</f>
        <v>12</v>
      </c>
      <c r="G26" s="9" t="n">
        <v>2</v>
      </c>
      <c r="H26" s="10"/>
      <c r="I26" s="11"/>
      <c r="J26" s="10" t="n">
        <f aca="false">MAX(0,F26-N(I26))</f>
        <v>12</v>
      </c>
    </row>
    <row r="27" customFormat="false" ht="15" hidden="false" customHeight="false" outlineLevel="0" collapsed="false">
      <c r="A27" s="7" t="s">
        <v>57</v>
      </c>
      <c r="B27" s="8" t="s">
        <v>58</v>
      </c>
      <c r="C27" s="8" t="s">
        <v>59</v>
      </c>
      <c r="D27" s="9" t="n">
        <v>3</v>
      </c>
      <c r="E27" s="9"/>
      <c r="F27" s="10" t="n">
        <f aca="false">SUM(D27:E27)</f>
        <v>3</v>
      </c>
      <c r="G27" s="9"/>
      <c r="H27" s="10" t="s">
        <v>45</v>
      </c>
      <c r="I27" s="11"/>
      <c r="J27" s="10" t="n">
        <f aca="false">MAX(0,F27-N(I27))</f>
        <v>3</v>
      </c>
    </row>
    <row r="28" customFormat="false" ht="15" hidden="false" customHeight="false" outlineLevel="0" collapsed="false">
      <c r="A28" s="7" t="s">
        <v>60</v>
      </c>
      <c r="B28" s="8" t="s">
        <v>58</v>
      </c>
      <c r="C28" s="8" t="s">
        <v>61</v>
      </c>
      <c r="D28" s="9" t="n">
        <v>4</v>
      </c>
      <c r="E28" s="9"/>
      <c r="F28" s="10" t="n">
        <f aca="false">SUM(D28:E28)</f>
        <v>4</v>
      </c>
      <c r="G28" s="9"/>
      <c r="H28" s="10" t="s">
        <v>45</v>
      </c>
      <c r="I28" s="11"/>
      <c r="J28" s="10" t="n">
        <f aca="false">MAX(0,F28-N(I28))</f>
        <v>4</v>
      </c>
    </row>
    <row r="29" customFormat="false" ht="15" hidden="false" customHeight="false" outlineLevel="0" collapsed="false">
      <c r="A29" s="7" t="s">
        <v>62</v>
      </c>
      <c r="B29" s="8" t="s">
        <v>58</v>
      </c>
      <c r="C29" s="8" t="s">
        <v>63</v>
      </c>
      <c r="D29" s="9" t="n">
        <v>3</v>
      </c>
      <c r="E29" s="9"/>
      <c r="F29" s="10" t="n">
        <f aca="false">SUM(D29:E29)</f>
        <v>3</v>
      </c>
      <c r="G29" s="9"/>
      <c r="H29" s="10"/>
      <c r="I29" s="11"/>
      <c r="J29" s="10" t="n">
        <f aca="false">MAX(0,F29-N(I29))</f>
        <v>3</v>
      </c>
    </row>
    <row r="30" customFormat="false" ht="15" hidden="false" customHeight="false" outlineLevel="0" collapsed="false">
      <c r="A30" s="7" t="s">
        <v>64</v>
      </c>
      <c r="B30" s="8" t="s">
        <v>58</v>
      </c>
      <c r="C30" s="8" t="s">
        <v>65</v>
      </c>
      <c r="D30" s="9" t="n">
        <v>3</v>
      </c>
      <c r="E30" s="9"/>
      <c r="F30" s="10" t="n">
        <f aca="false">SUM(D30:E30)</f>
        <v>3</v>
      </c>
      <c r="G30" s="9"/>
      <c r="H30" s="10" t="s">
        <v>45</v>
      </c>
      <c r="I30" s="11"/>
      <c r="J30" s="10" t="n">
        <f aca="false">MAX(0,F30-N(I30))</f>
        <v>3</v>
      </c>
    </row>
    <row r="31" customFormat="false" ht="15" hidden="false" customHeight="false" outlineLevel="0" collapsed="false">
      <c r="A31" s="7" t="s">
        <v>66</v>
      </c>
      <c r="B31" s="8" t="s">
        <v>58</v>
      </c>
      <c r="C31" s="8" t="s">
        <v>67</v>
      </c>
      <c r="D31" s="9" t="n">
        <v>6</v>
      </c>
      <c r="E31" s="9"/>
      <c r="F31" s="10" t="n">
        <f aca="false">SUM(D31:E31)</f>
        <v>6</v>
      </c>
      <c r="G31" s="9"/>
      <c r="H31" s="10"/>
      <c r="I31" s="11"/>
      <c r="J31" s="10" t="n">
        <f aca="false">MAX(0,F31-N(I31))</f>
        <v>6</v>
      </c>
    </row>
    <row r="32" customFormat="false" ht="15" hidden="false" customHeight="false" outlineLevel="0" collapsed="false">
      <c r="A32" s="7" t="s">
        <v>68</v>
      </c>
      <c r="B32" s="8" t="s">
        <v>58</v>
      </c>
      <c r="C32" s="8" t="s">
        <v>69</v>
      </c>
      <c r="D32" s="9" t="n">
        <v>6</v>
      </c>
      <c r="E32" s="9"/>
      <c r="F32" s="10" t="n">
        <f aca="false">SUM(D32:E32)</f>
        <v>6</v>
      </c>
      <c r="G32" s="9" t="n">
        <v>1</v>
      </c>
      <c r="H32" s="10"/>
      <c r="I32" s="11"/>
      <c r="J32" s="10" t="n">
        <f aca="false">MAX(0,F32-N(I32))</f>
        <v>6</v>
      </c>
    </row>
    <row r="33" customFormat="false" ht="15" hidden="false" customHeight="false" outlineLevel="0" collapsed="false">
      <c r="A33" s="7" t="s">
        <v>70</v>
      </c>
      <c r="B33" s="8" t="s">
        <v>58</v>
      </c>
      <c r="C33" s="8" t="s">
        <v>71</v>
      </c>
      <c r="D33" s="9" t="n">
        <v>2</v>
      </c>
      <c r="E33" s="9"/>
      <c r="F33" s="10" t="n">
        <f aca="false">SUM(D33:E33)</f>
        <v>2</v>
      </c>
      <c r="G33" s="9"/>
      <c r="H33" s="10"/>
      <c r="I33" s="11"/>
      <c r="J33" s="10" t="n">
        <f aca="false">MAX(0,F33-N(I33))</f>
        <v>2</v>
      </c>
    </row>
    <row r="34" customFormat="false" ht="15" hidden="false" customHeight="false" outlineLevel="0" collapsed="false">
      <c r="A34" s="7" t="s">
        <v>72</v>
      </c>
      <c r="B34" s="8" t="s">
        <v>58</v>
      </c>
      <c r="C34" s="8" t="s">
        <v>73</v>
      </c>
      <c r="D34" s="9" t="n">
        <v>3</v>
      </c>
      <c r="E34" s="9"/>
      <c r="F34" s="10" t="n">
        <f aca="false">SUM(D34:E34)</f>
        <v>3</v>
      </c>
      <c r="G34" s="9"/>
      <c r="H34" s="10"/>
      <c r="I34" s="11"/>
      <c r="J34" s="10" t="n">
        <f aca="false">MAX(0,F34-N(I34))</f>
        <v>3</v>
      </c>
    </row>
    <row r="35" customFormat="false" ht="15" hidden="false" customHeight="false" outlineLevel="0" collapsed="false">
      <c r="A35" s="7" t="s">
        <v>74</v>
      </c>
      <c r="B35" s="8" t="s">
        <v>58</v>
      </c>
      <c r="C35" s="8" t="s">
        <v>75</v>
      </c>
      <c r="D35" s="9" t="n">
        <v>65</v>
      </c>
      <c r="E35" s="9"/>
      <c r="F35" s="10" t="n">
        <f aca="false">SUM(D35:E35)</f>
        <v>65</v>
      </c>
      <c r="G35" s="9"/>
      <c r="H35" s="10" t="s">
        <v>45</v>
      </c>
      <c r="I35" s="11"/>
      <c r="J35" s="10" t="n">
        <f aca="false">MAX(0,F35-N(I35))</f>
        <v>65</v>
      </c>
    </row>
    <row r="36" customFormat="false" ht="15" hidden="false" customHeight="false" outlineLevel="0" collapsed="false">
      <c r="A36" s="7" t="s">
        <v>76</v>
      </c>
      <c r="B36" s="8" t="s">
        <v>58</v>
      </c>
      <c r="C36" s="8" t="s">
        <v>77</v>
      </c>
      <c r="D36" s="9" t="n">
        <v>7</v>
      </c>
      <c r="E36" s="9"/>
      <c r="F36" s="10" t="n">
        <f aca="false">SUM(D36:E36)</f>
        <v>7</v>
      </c>
      <c r="G36" s="9"/>
      <c r="H36" s="10"/>
      <c r="I36" s="11"/>
      <c r="J36" s="10" t="n">
        <f aca="false">MAX(0,F36-N(I36))</f>
        <v>7</v>
      </c>
    </row>
    <row r="37" customFormat="false" ht="15" hidden="false" customHeight="false" outlineLevel="0" collapsed="false">
      <c r="A37" s="7" t="s">
        <v>78</v>
      </c>
      <c r="B37" s="8" t="s">
        <v>58</v>
      </c>
      <c r="C37" s="8" t="s">
        <v>79</v>
      </c>
      <c r="D37" s="9" t="n">
        <v>7</v>
      </c>
      <c r="E37" s="9"/>
      <c r="F37" s="10" t="n">
        <f aca="false">SUM(D37:E37)</f>
        <v>7</v>
      </c>
      <c r="G37" s="9"/>
      <c r="H37" s="10" t="s">
        <v>45</v>
      </c>
      <c r="I37" s="11"/>
      <c r="J37" s="10" t="n">
        <f aca="false">MAX(0,F37-N(I37))</f>
        <v>7</v>
      </c>
    </row>
    <row r="38" customFormat="false" ht="15" hidden="false" customHeight="false" outlineLevel="0" collapsed="false">
      <c r="A38" s="7" t="s">
        <v>80</v>
      </c>
      <c r="B38" s="8" t="s">
        <v>81</v>
      </c>
      <c r="C38" s="8" t="s">
        <v>82</v>
      </c>
      <c r="D38" s="9" t="n">
        <v>16</v>
      </c>
      <c r="E38" s="9"/>
      <c r="F38" s="10" t="n">
        <f aca="false">SUM(D38:E38)</f>
        <v>16</v>
      </c>
      <c r="G38" s="9"/>
      <c r="H38" s="10"/>
      <c r="I38" s="11"/>
      <c r="J38" s="10" t="n">
        <f aca="false">MAX(0,F38-N(I38))</f>
        <v>16</v>
      </c>
    </row>
    <row r="39" customFormat="false" ht="15" hidden="false" customHeight="false" outlineLevel="0" collapsed="false">
      <c r="A39" s="7" t="s">
        <v>48</v>
      </c>
      <c r="B39" s="8" t="s">
        <v>81</v>
      </c>
      <c r="C39" s="8" t="s">
        <v>49</v>
      </c>
      <c r="D39" s="9"/>
      <c r="E39" s="9" t="n">
        <v>37</v>
      </c>
      <c r="F39" s="10" t="n">
        <f aca="false">SUM(D39:E39)</f>
        <v>37</v>
      </c>
      <c r="G39" s="9" t="n">
        <v>1</v>
      </c>
      <c r="H39" s="10"/>
      <c r="I39" s="11"/>
      <c r="J39" s="10" t="n">
        <f aca="false">MAX(0,F39-N(I39))</f>
        <v>37</v>
      </c>
    </row>
    <row r="40" customFormat="false" ht="15" hidden="false" customHeight="false" outlineLevel="0" collapsed="false">
      <c r="A40" s="7" t="s">
        <v>83</v>
      </c>
      <c r="B40" s="8" t="s">
        <v>84</v>
      </c>
      <c r="C40" s="8" t="s">
        <v>85</v>
      </c>
      <c r="D40" s="9" t="n">
        <v>20</v>
      </c>
      <c r="E40" s="9"/>
      <c r="F40" s="10" t="n">
        <f aca="false">SUM(D40:E40)</f>
        <v>20</v>
      </c>
      <c r="G40" s="9"/>
      <c r="H40" s="10"/>
      <c r="I40" s="11"/>
      <c r="J40" s="10" t="n">
        <f aca="false">MAX(0,F40-N(I40))</f>
        <v>20</v>
      </c>
    </row>
    <row r="41" customFormat="false" ht="15" hidden="false" customHeight="false" outlineLevel="0" collapsed="false">
      <c r="A41" s="7" t="s">
        <v>86</v>
      </c>
      <c r="B41" s="8" t="s">
        <v>84</v>
      </c>
      <c r="C41" s="8" t="s">
        <v>87</v>
      </c>
      <c r="D41" s="9" t="n">
        <v>1</v>
      </c>
      <c r="E41" s="9"/>
      <c r="F41" s="10" t="n">
        <f aca="false">SUM(D41:E41)</f>
        <v>1</v>
      </c>
      <c r="G41" s="9"/>
      <c r="H41" s="10"/>
      <c r="I41" s="11"/>
      <c r="J41" s="10" t="n">
        <f aca="false">MAX(0,F41-N(I41))</f>
        <v>1</v>
      </c>
    </row>
    <row r="42" customFormat="false" ht="15" hidden="false" customHeight="false" outlineLevel="0" collapsed="false">
      <c r="A42" s="7" t="s">
        <v>88</v>
      </c>
      <c r="B42" s="8" t="s">
        <v>89</v>
      </c>
      <c r="C42" s="8" t="s">
        <v>90</v>
      </c>
      <c r="D42" s="9"/>
      <c r="E42" s="9" t="n">
        <v>44</v>
      </c>
      <c r="F42" s="10" t="n">
        <f aca="false">SUM(D42:E42)</f>
        <v>44</v>
      </c>
      <c r="G42" s="9" t="n">
        <v>2</v>
      </c>
      <c r="H42" s="10"/>
      <c r="I42" s="11"/>
      <c r="J42" s="10" t="n">
        <f aca="false">MAX(0,F42-N(I42))</f>
        <v>44</v>
      </c>
    </row>
    <row r="43" customFormat="false" ht="15" hidden="false" customHeight="false" outlineLevel="0" collapsed="false">
      <c r="A43" s="7" t="s">
        <v>48</v>
      </c>
      <c r="B43" s="8" t="s">
        <v>89</v>
      </c>
      <c r="C43" s="8" t="s">
        <v>49</v>
      </c>
      <c r="D43" s="9"/>
      <c r="E43" s="9" t="n">
        <v>26</v>
      </c>
      <c r="F43" s="10" t="n">
        <f aca="false">SUM(D43:E43)</f>
        <v>26</v>
      </c>
      <c r="G43" s="9" t="n">
        <v>2</v>
      </c>
      <c r="H43" s="10" t="s">
        <v>45</v>
      </c>
      <c r="I43" s="11"/>
      <c r="J43" s="10" t="n">
        <f aca="false">MAX(0,F43-N(I43))</f>
        <v>26</v>
      </c>
    </row>
    <row r="44" customFormat="false" ht="15" hidden="false" customHeight="false" outlineLevel="0" collapsed="false">
      <c r="A44" s="7" t="s">
        <v>91</v>
      </c>
      <c r="B44" s="8" t="s">
        <v>92</v>
      </c>
      <c r="C44" s="8" t="s">
        <v>93</v>
      </c>
      <c r="D44" s="9" t="n">
        <v>1</v>
      </c>
      <c r="E44" s="9"/>
      <c r="F44" s="10" t="n">
        <f aca="false">SUM(D44:E44)</f>
        <v>1</v>
      </c>
      <c r="G44" s="9"/>
      <c r="H44" s="10"/>
      <c r="I44" s="11"/>
      <c r="J44" s="10" t="n">
        <f aca="false">MAX(0,F44-N(I44))</f>
        <v>1</v>
      </c>
    </row>
    <row r="45" customFormat="false" ht="15" hidden="false" customHeight="false" outlineLevel="0" collapsed="false">
      <c r="A45" s="7" t="s">
        <v>94</v>
      </c>
      <c r="B45" s="8" t="s">
        <v>95</v>
      </c>
      <c r="C45" s="8" t="s">
        <v>96</v>
      </c>
      <c r="D45" s="9" t="n">
        <v>4</v>
      </c>
      <c r="E45" s="9"/>
      <c r="F45" s="10" t="n">
        <f aca="false">SUM(D45:E45)</f>
        <v>4</v>
      </c>
      <c r="G45" s="9"/>
      <c r="H45" s="10" t="s">
        <v>45</v>
      </c>
      <c r="I45" s="11"/>
      <c r="J45" s="10" t="n">
        <f aca="false">MAX(0,F45-N(I45))</f>
        <v>4</v>
      </c>
    </row>
    <row r="46" customFormat="false" ht="15" hidden="false" customHeight="false" outlineLevel="0" collapsed="false">
      <c r="A46" s="7" t="s">
        <v>97</v>
      </c>
      <c r="B46" s="8" t="s">
        <v>95</v>
      </c>
      <c r="C46" s="8" t="s">
        <v>98</v>
      </c>
      <c r="D46" s="9" t="n">
        <v>3</v>
      </c>
      <c r="E46" s="9"/>
      <c r="F46" s="10" t="n">
        <f aca="false">SUM(D46:E46)</f>
        <v>3</v>
      </c>
      <c r="G46" s="9"/>
      <c r="H46" s="10"/>
      <c r="I46" s="11"/>
      <c r="J46" s="10" t="n">
        <f aca="false">MAX(0,F46-N(I46))</f>
        <v>3</v>
      </c>
    </row>
    <row r="47" customFormat="false" ht="15" hidden="false" customHeight="false" outlineLevel="0" collapsed="false">
      <c r="A47" s="7" t="s">
        <v>99</v>
      </c>
      <c r="B47" s="8" t="s">
        <v>95</v>
      </c>
      <c r="C47" s="8" t="s">
        <v>100</v>
      </c>
      <c r="D47" s="9" t="n">
        <v>3</v>
      </c>
      <c r="E47" s="9"/>
      <c r="F47" s="10" t="n">
        <f aca="false">SUM(D47:E47)</f>
        <v>3</v>
      </c>
      <c r="G47" s="9"/>
      <c r="H47" s="10"/>
      <c r="I47" s="11"/>
      <c r="J47" s="10" t="n">
        <f aca="false">MAX(0,F47-N(I47))</f>
        <v>3</v>
      </c>
    </row>
    <row r="48" customFormat="false" ht="15" hidden="false" customHeight="false" outlineLevel="0" collapsed="false">
      <c r="A48" s="7" t="s">
        <v>48</v>
      </c>
      <c r="B48" s="8" t="s">
        <v>95</v>
      </c>
      <c r="C48" s="8" t="s">
        <v>49</v>
      </c>
      <c r="D48" s="9" t="n">
        <v>2</v>
      </c>
      <c r="E48" s="9"/>
      <c r="F48" s="10" t="n">
        <f aca="false">SUM(D48:E48)</f>
        <v>2</v>
      </c>
      <c r="G48" s="9" t="n">
        <v>1</v>
      </c>
      <c r="H48" s="10"/>
      <c r="I48" s="11"/>
      <c r="J48" s="10" t="n">
        <f aca="false">MAX(0,F48-N(I48))</f>
        <v>2</v>
      </c>
    </row>
    <row r="49" customFormat="false" ht="15" hidden="false" customHeight="false" outlineLevel="0" collapsed="false">
      <c r="A49" s="7" t="s">
        <v>70</v>
      </c>
      <c r="B49" s="8" t="s">
        <v>95</v>
      </c>
      <c r="C49" s="8" t="s">
        <v>71</v>
      </c>
      <c r="D49" s="9" t="n">
        <v>3</v>
      </c>
      <c r="E49" s="9"/>
      <c r="F49" s="10" t="n">
        <f aca="false">SUM(D49:E49)</f>
        <v>3</v>
      </c>
      <c r="G49" s="9"/>
      <c r="H49" s="10"/>
      <c r="I49" s="11"/>
      <c r="J49" s="10" t="n">
        <f aca="false">MAX(0,F49-N(I49))</f>
        <v>3</v>
      </c>
    </row>
    <row r="50" customFormat="false" ht="15" hidden="false" customHeight="false" outlineLevel="0" collapsed="false">
      <c r="A50" s="7" t="s">
        <v>48</v>
      </c>
      <c r="B50" s="8" t="s">
        <v>101</v>
      </c>
      <c r="C50" s="8" t="s">
        <v>49</v>
      </c>
      <c r="D50" s="9" t="n">
        <v>55</v>
      </c>
      <c r="E50" s="9"/>
      <c r="F50" s="10" t="n">
        <f aca="false">SUM(D50:E50)</f>
        <v>55</v>
      </c>
      <c r="G50" s="9" t="n">
        <v>1</v>
      </c>
      <c r="H50" s="10"/>
      <c r="I50" s="11"/>
      <c r="J50" s="10" t="n">
        <f aca="false">MAX(0,F50-N(I50))</f>
        <v>55</v>
      </c>
    </row>
    <row r="51" customFormat="false" ht="15" hidden="false" customHeight="false" outlineLevel="0" collapsed="false">
      <c r="A51" s="7" t="s">
        <v>102</v>
      </c>
      <c r="B51" s="8" t="s">
        <v>103</v>
      </c>
      <c r="C51" s="8" t="s">
        <v>104</v>
      </c>
      <c r="D51" s="9" t="n">
        <v>5</v>
      </c>
      <c r="E51" s="9" t="n">
        <v>4</v>
      </c>
      <c r="F51" s="10" t="n">
        <f aca="false">SUM(D51:E51)</f>
        <v>9</v>
      </c>
      <c r="G51" s="9"/>
      <c r="H51" s="10"/>
      <c r="I51" s="11"/>
      <c r="J51" s="10" t="n">
        <f aca="false">MAX(0,F51-N(I51))</f>
        <v>9</v>
      </c>
    </row>
    <row r="52" customFormat="false" ht="15" hidden="false" customHeight="false" outlineLevel="0" collapsed="false">
      <c r="A52" s="7" t="s">
        <v>105</v>
      </c>
      <c r="B52" s="8" t="s">
        <v>106</v>
      </c>
      <c r="C52" s="8" t="s">
        <v>107</v>
      </c>
      <c r="D52" s="9" t="n">
        <v>24</v>
      </c>
      <c r="E52" s="9"/>
      <c r="F52" s="10" t="n">
        <f aca="false">SUM(D52:E52)</f>
        <v>24</v>
      </c>
      <c r="G52" s="9"/>
      <c r="H52" s="10"/>
      <c r="I52" s="11"/>
      <c r="J52" s="10" t="n">
        <f aca="false">MAX(0,F52-N(I52))</f>
        <v>24</v>
      </c>
    </row>
    <row r="53" customFormat="false" ht="15" hidden="false" customHeight="false" outlineLevel="0" collapsed="false">
      <c r="A53" s="7" t="s">
        <v>108</v>
      </c>
      <c r="B53" s="8" t="s">
        <v>106</v>
      </c>
      <c r="C53" s="8" t="s">
        <v>109</v>
      </c>
      <c r="D53" s="9" t="n">
        <v>12</v>
      </c>
      <c r="E53" s="9"/>
      <c r="F53" s="10" t="n">
        <f aca="false">SUM(D53:E53)</f>
        <v>12</v>
      </c>
      <c r="G53" s="9"/>
      <c r="H53" s="10"/>
      <c r="I53" s="11"/>
      <c r="J53" s="10" t="n">
        <f aca="false">MAX(0,F53-N(I53))</f>
        <v>12</v>
      </c>
    </row>
    <row r="54" customFormat="false" ht="15" hidden="false" customHeight="false" outlineLevel="0" collapsed="false">
      <c r="A54" s="7" t="s">
        <v>110</v>
      </c>
      <c r="B54" s="8" t="s">
        <v>106</v>
      </c>
      <c r="C54" s="8" t="s">
        <v>111</v>
      </c>
      <c r="D54" s="9" t="n">
        <v>12</v>
      </c>
      <c r="E54" s="9"/>
      <c r="F54" s="10" t="n">
        <f aca="false">SUM(D54:E54)</f>
        <v>12</v>
      </c>
      <c r="G54" s="9"/>
      <c r="H54" s="10" t="s">
        <v>45</v>
      </c>
      <c r="I54" s="11"/>
      <c r="J54" s="10" t="n">
        <f aca="false">MAX(0,F54-N(I54))</f>
        <v>12</v>
      </c>
    </row>
    <row r="55" customFormat="false" ht="15" hidden="false" customHeight="false" outlineLevel="0" collapsed="false">
      <c r="A55" s="7" t="s">
        <v>112</v>
      </c>
      <c r="B55" s="8" t="s">
        <v>106</v>
      </c>
      <c r="C55" s="8" t="s">
        <v>113</v>
      </c>
      <c r="D55" s="9" t="n">
        <v>12</v>
      </c>
      <c r="E55" s="9"/>
      <c r="F55" s="10" t="n">
        <f aca="false">SUM(D55:E55)</f>
        <v>12</v>
      </c>
      <c r="G55" s="9"/>
      <c r="H55" s="10"/>
      <c r="I55" s="11"/>
      <c r="J55" s="10" t="n">
        <f aca="false">MAX(0,F55-N(I55))</f>
        <v>12</v>
      </c>
    </row>
    <row r="56" customFormat="false" ht="15" hidden="false" customHeight="false" outlineLevel="0" collapsed="false">
      <c r="A56" s="7" t="s">
        <v>114</v>
      </c>
      <c r="B56" s="8" t="s">
        <v>115</v>
      </c>
      <c r="C56" s="8" t="s">
        <v>116</v>
      </c>
      <c r="D56" s="9" t="n">
        <v>3</v>
      </c>
      <c r="E56" s="9"/>
      <c r="F56" s="10" t="n">
        <f aca="false">SUM(D56:E56)</f>
        <v>3</v>
      </c>
      <c r="G56" s="9"/>
      <c r="H56" s="10"/>
      <c r="I56" s="11"/>
      <c r="J56" s="10" t="n">
        <f aca="false">MAX(0,F56-N(I56))</f>
        <v>3</v>
      </c>
    </row>
    <row r="57" customFormat="false" ht="15" hidden="false" customHeight="false" outlineLevel="0" collapsed="false">
      <c r="A57" s="7" t="s">
        <v>26</v>
      </c>
      <c r="B57" s="8" t="s">
        <v>115</v>
      </c>
      <c r="C57" s="8" t="s">
        <v>27</v>
      </c>
      <c r="D57" s="9" t="n">
        <v>8</v>
      </c>
      <c r="E57" s="9"/>
      <c r="F57" s="10" t="n">
        <f aca="false">SUM(D57:E57)</f>
        <v>8</v>
      </c>
      <c r="G57" s="9"/>
      <c r="H57" s="10"/>
      <c r="I57" s="11"/>
      <c r="J57" s="10" t="n">
        <f aca="false">MAX(0,F57-N(I57))</f>
        <v>8</v>
      </c>
    </row>
    <row r="58" customFormat="false" ht="15" hidden="false" customHeight="false" outlineLevel="0" collapsed="false">
      <c r="A58" s="7" t="s">
        <v>117</v>
      </c>
      <c r="B58" s="8" t="s">
        <v>115</v>
      </c>
      <c r="C58" s="8" t="s">
        <v>118</v>
      </c>
      <c r="D58" s="9"/>
      <c r="E58" s="9" t="n">
        <v>32</v>
      </c>
      <c r="F58" s="10" t="n">
        <f aca="false">SUM(D58:E58)</f>
        <v>32</v>
      </c>
      <c r="G58" s="9"/>
      <c r="H58" s="10" t="s">
        <v>45</v>
      </c>
      <c r="I58" s="11"/>
      <c r="J58" s="10" t="n">
        <f aca="false">MAX(0,F58-N(I58))</f>
        <v>32</v>
      </c>
    </row>
    <row r="59" customFormat="false" ht="15" hidden="false" customHeight="false" outlineLevel="0" collapsed="false">
      <c r="A59" s="7" t="s">
        <v>119</v>
      </c>
      <c r="B59" s="8" t="s">
        <v>115</v>
      </c>
      <c r="C59" s="8" t="s">
        <v>120</v>
      </c>
      <c r="D59" s="9" t="n">
        <v>6</v>
      </c>
      <c r="E59" s="9"/>
      <c r="F59" s="10" t="n">
        <f aca="false">SUM(D59:E59)</f>
        <v>6</v>
      </c>
      <c r="G59" s="9"/>
      <c r="H59" s="10" t="s">
        <v>45</v>
      </c>
      <c r="I59" s="11"/>
      <c r="J59" s="10" t="n">
        <f aca="false">MAX(0,F59-N(I59))</f>
        <v>6</v>
      </c>
    </row>
    <row r="60" customFormat="false" ht="15" hidden="false" customHeight="false" outlineLevel="0" collapsed="false">
      <c r="A60" s="7" t="s">
        <v>121</v>
      </c>
      <c r="B60" s="8" t="s">
        <v>115</v>
      </c>
      <c r="C60" s="8" t="s">
        <v>122</v>
      </c>
      <c r="D60" s="9" t="n">
        <v>2</v>
      </c>
      <c r="E60" s="9"/>
      <c r="F60" s="10" t="n">
        <f aca="false">SUM(D60:E60)</f>
        <v>2</v>
      </c>
      <c r="G60" s="9"/>
      <c r="H60" s="10"/>
      <c r="I60" s="11"/>
      <c r="J60" s="10" t="n">
        <f aca="false">MAX(0,F60-N(I60))</f>
        <v>2</v>
      </c>
    </row>
    <row r="61" customFormat="false" ht="15" hidden="false" customHeight="false" outlineLevel="0" collapsed="false">
      <c r="A61" s="7" t="s">
        <v>123</v>
      </c>
      <c r="B61" s="8" t="s">
        <v>124</v>
      </c>
      <c r="C61" s="8" t="s">
        <v>125</v>
      </c>
      <c r="D61" s="9" t="n">
        <v>16</v>
      </c>
      <c r="E61" s="9"/>
      <c r="F61" s="10" t="n">
        <f aca="false">SUM(D61:E61)</f>
        <v>16</v>
      </c>
      <c r="G61" s="9"/>
      <c r="H61" s="10" t="s">
        <v>45</v>
      </c>
      <c r="I61" s="11"/>
      <c r="J61" s="10" t="n">
        <f aca="false">MAX(0,F61-N(I61))</f>
        <v>16</v>
      </c>
    </row>
    <row r="62" customFormat="false" ht="15" hidden="false" customHeight="false" outlineLevel="0" collapsed="false">
      <c r="A62" s="7" t="s">
        <v>126</v>
      </c>
      <c r="B62" s="8" t="s">
        <v>124</v>
      </c>
      <c r="C62" s="8" t="s">
        <v>127</v>
      </c>
      <c r="D62" s="9" t="n">
        <v>16</v>
      </c>
      <c r="E62" s="9"/>
      <c r="F62" s="10" t="n">
        <f aca="false">SUM(D62:E62)</f>
        <v>16</v>
      </c>
      <c r="G62" s="9"/>
      <c r="H62" s="10" t="s">
        <v>45</v>
      </c>
      <c r="I62" s="11"/>
      <c r="J62" s="10" t="n">
        <f aca="false">MAX(0,F62-N(I62))</f>
        <v>16</v>
      </c>
    </row>
    <row r="63" customFormat="false" ht="15" hidden="false" customHeight="false" outlineLevel="0" collapsed="false">
      <c r="A63" s="7" t="s">
        <v>117</v>
      </c>
      <c r="B63" s="8" t="s">
        <v>128</v>
      </c>
      <c r="C63" s="8" t="s">
        <v>118</v>
      </c>
      <c r="D63" s="9" t="n">
        <v>34</v>
      </c>
      <c r="E63" s="9"/>
      <c r="F63" s="10" t="n">
        <f aca="false">SUM(D63:E63)</f>
        <v>34</v>
      </c>
      <c r="G63" s="9"/>
      <c r="H63" s="10" t="s">
        <v>45</v>
      </c>
      <c r="I63" s="11"/>
      <c r="J63" s="10" t="n">
        <f aca="false">MAX(0,F63-N(I63))</f>
        <v>34</v>
      </c>
    </row>
    <row r="64" customFormat="false" ht="15" hidden="false" customHeight="false" outlineLevel="0" collapsed="false">
      <c r="A64" s="7" t="s">
        <v>129</v>
      </c>
      <c r="B64" s="8" t="s">
        <v>130</v>
      </c>
      <c r="C64" s="8" t="s">
        <v>131</v>
      </c>
      <c r="D64" s="9" t="n">
        <v>4</v>
      </c>
      <c r="E64" s="9"/>
      <c r="F64" s="10" t="n">
        <f aca="false">SUM(D64:E64)</f>
        <v>4</v>
      </c>
      <c r="G64" s="9"/>
      <c r="H64" s="10"/>
      <c r="I64" s="11"/>
      <c r="J64" s="10" t="n">
        <f aca="false">MAX(0,F64-N(I64))</f>
        <v>4</v>
      </c>
    </row>
    <row r="65" customFormat="false" ht="15" hidden="false" customHeight="false" outlineLevel="0" collapsed="false">
      <c r="A65" s="7" t="s">
        <v>132</v>
      </c>
      <c r="B65" s="8" t="s">
        <v>130</v>
      </c>
      <c r="C65" s="8" t="s">
        <v>133</v>
      </c>
      <c r="D65" s="9" t="n">
        <v>4</v>
      </c>
      <c r="E65" s="9"/>
      <c r="F65" s="10" t="n">
        <f aca="false">SUM(D65:E65)</f>
        <v>4</v>
      </c>
      <c r="G65" s="9"/>
      <c r="H65" s="10"/>
      <c r="I65" s="11"/>
      <c r="J65" s="10" t="n">
        <f aca="false">MAX(0,F65-N(I65))</f>
        <v>4</v>
      </c>
    </row>
    <row r="66" customFormat="false" ht="15" hidden="false" customHeight="false" outlineLevel="0" collapsed="false">
      <c r="A66" s="7" t="s">
        <v>112</v>
      </c>
      <c r="B66" s="8" t="s">
        <v>130</v>
      </c>
      <c r="C66" s="8" t="s">
        <v>113</v>
      </c>
      <c r="D66" s="9" t="n">
        <v>4</v>
      </c>
      <c r="E66" s="9"/>
      <c r="F66" s="10" t="n">
        <f aca="false">SUM(D66:E66)</f>
        <v>4</v>
      </c>
      <c r="G66" s="9"/>
      <c r="H66" s="10" t="s">
        <v>45</v>
      </c>
      <c r="I66" s="11"/>
      <c r="J66" s="10" t="n">
        <f aca="false">MAX(0,F66-N(I66))</f>
        <v>4</v>
      </c>
    </row>
    <row r="67" customFormat="false" ht="15" hidden="false" customHeight="false" outlineLevel="0" collapsed="false">
      <c r="A67" s="7" t="s">
        <v>134</v>
      </c>
      <c r="B67" s="8" t="s">
        <v>130</v>
      </c>
      <c r="C67" s="8" t="s">
        <v>135</v>
      </c>
      <c r="D67" s="9" t="n">
        <v>2</v>
      </c>
      <c r="E67" s="9"/>
      <c r="F67" s="10" t="n">
        <f aca="false">SUM(D67:E67)</f>
        <v>2</v>
      </c>
      <c r="G67" s="9"/>
      <c r="H67" s="10"/>
      <c r="I67" s="11"/>
      <c r="J67" s="10" t="n">
        <f aca="false">MAX(0,F67-N(I67))</f>
        <v>2</v>
      </c>
    </row>
    <row r="68" customFormat="false" ht="15" hidden="false" customHeight="false" outlineLevel="0" collapsed="false">
      <c r="A68" s="7" t="s">
        <v>46</v>
      </c>
      <c r="B68" s="8" t="s">
        <v>136</v>
      </c>
      <c r="C68" s="8" t="s">
        <v>137</v>
      </c>
      <c r="D68" s="9" t="n">
        <v>9</v>
      </c>
      <c r="E68" s="9"/>
      <c r="F68" s="10" t="n">
        <f aca="false">SUM(D68:E68)</f>
        <v>9</v>
      </c>
      <c r="G68" s="9"/>
      <c r="H68" s="10"/>
      <c r="I68" s="11"/>
      <c r="J68" s="10" t="n">
        <f aca="false">MAX(0,F68-N(I68))</f>
        <v>9</v>
      </c>
    </row>
    <row r="69" customFormat="false" ht="15" hidden="false" customHeight="false" outlineLevel="0" collapsed="false">
      <c r="A69" s="7" t="s">
        <v>117</v>
      </c>
      <c r="B69" s="8" t="s">
        <v>136</v>
      </c>
      <c r="C69" s="8" t="s">
        <v>118</v>
      </c>
      <c r="D69" s="9" t="n">
        <v>9</v>
      </c>
      <c r="E69" s="9"/>
      <c r="F69" s="10" t="n">
        <f aca="false">SUM(D69:E69)</f>
        <v>9</v>
      </c>
      <c r="G69" s="9"/>
      <c r="H69" s="10" t="s">
        <v>45</v>
      </c>
      <c r="I69" s="11"/>
      <c r="J69" s="10" t="n">
        <f aca="false">MAX(0,F69-N(I69))</f>
        <v>9</v>
      </c>
    </row>
    <row r="70" customFormat="false" ht="15" hidden="false" customHeight="false" outlineLevel="0" collapsed="false">
      <c r="A70" s="7" t="s">
        <v>138</v>
      </c>
      <c r="B70" s="8" t="s">
        <v>136</v>
      </c>
      <c r="C70" s="8" t="s">
        <v>139</v>
      </c>
      <c r="D70" s="9" t="n">
        <v>4</v>
      </c>
      <c r="E70" s="9"/>
      <c r="F70" s="10" t="n">
        <f aca="false">SUM(D70:E70)</f>
        <v>4</v>
      </c>
      <c r="G70" s="9" t="n">
        <v>1</v>
      </c>
      <c r="H70" s="10"/>
      <c r="I70" s="11"/>
      <c r="J70" s="10" t="n">
        <f aca="false">MAX(0,F70-N(I70))</f>
        <v>4</v>
      </c>
    </row>
    <row r="71" customFormat="false" ht="15" hidden="false" customHeight="false" outlineLevel="0" collapsed="false">
      <c r="A71" s="7" t="s">
        <v>34</v>
      </c>
      <c r="B71" s="8" t="s">
        <v>140</v>
      </c>
      <c r="C71" s="8" t="s">
        <v>35</v>
      </c>
      <c r="D71" s="9" t="n">
        <v>57</v>
      </c>
      <c r="E71" s="9"/>
      <c r="F71" s="10" t="n">
        <f aca="false">SUM(D71:E71)</f>
        <v>57</v>
      </c>
      <c r="G71" s="9"/>
      <c r="H71" s="10" t="s">
        <v>45</v>
      </c>
      <c r="I71" s="11"/>
      <c r="J71" s="10" t="n">
        <f aca="false">MAX(0,F71-N(I71))</f>
        <v>57</v>
      </c>
    </row>
    <row r="72" customFormat="false" ht="15" hidden="false" customHeight="false" outlineLevel="0" collapsed="false">
      <c r="A72" s="7" t="s">
        <v>141</v>
      </c>
      <c r="B72" s="8" t="s">
        <v>142</v>
      </c>
      <c r="C72" s="8" t="s">
        <v>143</v>
      </c>
      <c r="D72" s="9"/>
      <c r="E72" s="9" t="n">
        <v>12</v>
      </c>
      <c r="F72" s="10" t="n">
        <f aca="false">SUM(D72:E72)</f>
        <v>12</v>
      </c>
      <c r="G72" s="9"/>
      <c r="H72" s="10"/>
      <c r="I72" s="11"/>
      <c r="J72" s="10" t="n">
        <f aca="false">MAX(0,F72-N(I72))</f>
        <v>12</v>
      </c>
    </row>
    <row r="73" customFormat="false" ht="15" hidden="false" customHeight="false" outlineLevel="0" collapsed="false">
      <c r="A73" s="7" t="s">
        <v>144</v>
      </c>
      <c r="B73" s="8" t="s">
        <v>142</v>
      </c>
      <c r="C73" s="8" t="s">
        <v>145</v>
      </c>
      <c r="D73" s="9"/>
      <c r="E73" s="9" t="n">
        <v>16</v>
      </c>
      <c r="F73" s="10" t="n">
        <f aca="false">SUM(D73:E73)</f>
        <v>16</v>
      </c>
      <c r="G73" s="9" t="n">
        <v>2</v>
      </c>
      <c r="H73" s="10"/>
      <c r="I73" s="11"/>
      <c r="J73" s="10" t="n">
        <f aca="false">MAX(0,F73-N(I73))</f>
        <v>16</v>
      </c>
    </row>
    <row r="74" customFormat="false" ht="15" hidden="false" customHeight="false" outlineLevel="0" collapsed="false">
      <c r="A74" s="7" t="s">
        <v>146</v>
      </c>
      <c r="B74" s="8" t="s">
        <v>142</v>
      </c>
      <c r="C74" s="8" t="s">
        <v>147</v>
      </c>
      <c r="D74" s="9" t="n">
        <v>12</v>
      </c>
      <c r="E74" s="9"/>
      <c r="F74" s="10" t="n">
        <f aca="false">SUM(D74:E74)</f>
        <v>12</v>
      </c>
      <c r="G74" s="9"/>
      <c r="H74" s="10"/>
      <c r="I74" s="11"/>
      <c r="J74" s="10" t="n">
        <f aca="false">MAX(0,F74-N(I74))</f>
        <v>12</v>
      </c>
    </row>
    <row r="75" customFormat="false" ht="15" hidden="false" customHeight="false" outlineLevel="0" collapsed="false">
      <c r="A75" s="7" t="s">
        <v>148</v>
      </c>
      <c r="B75" s="8" t="s">
        <v>142</v>
      </c>
      <c r="C75" s="8" t="s">
        <v>149</v>
      </c>
      <c r="D75" s="9" t="n">
        <v>6</v>
      </c>
      <c r="E75" s="9"/>
      <c r="F75" s="10" t="n">
        <f aca="false">SUM(D75:E75)</f>
        <v>6</v>
      </c>
      <c r="G75" s="9"/>
      <c r="H75" s="10"/>
      <c r="I75" s="11"/>
      <c r="J75" s="10" t="n">
        <f aca="false">MAX(0,F75-N(I75))</f>
        <v>6</v>
      </c>
    </row>
    <row r="76" customFormat="false" ht="15" hidden="false" customHeight="false" outlineLevel="0" collapsed="false">
      <c r="A76" s="7" t="s">
        <v>23</v>
      </c>
      <c r="B76" s="8" t="s">
        <v>142</v>
      </c>
      <c r="C76" s="8" t="s">
        <v>25</v>
      </c>
      <c r="D76" s="9"/>
      <c r="E76" s="9" t="n">
        <v>12</v>
      </c>
      <c r="F76" s="10" t="n">
        <f aca="false">SUM(D76:E76)</f>
        <v>12</v>
      </c>
      <c r="G76" s="9"/>
      <c r="H76" s="10"/>
      <c r="I76" s="11"/>
      <c r="J76" s="10" t="n">
        <f aca="false">MAX(0,F76-N(I76))</f>
        <v>12</v>
      </c>
    </row>
    <row r="77" customFormat="false" ht="15" hidden="false" customHeight="false" outlineLevel="0" collapsed="false">
      <c r="A77" s="7" t="s">
        <v>114</v>
      </c>
      <c r="B77" s="8" t="s">
        <v>142</v>
      </c>
      <c r="C77" s="8" t="s">
        <v>116</v>
      </c>
      <c r="D77" s="9"/>
      <c r="E77" s="9" t="n">
        <v>14</v>
      </c>
      <c r="F77" s="10" t="n">
        <f aca="false">SUM(D77:E77)</f>
        <v>14</v>
      </c>
      <c r="G77" s="9"/>
      <c r="H77" s="10"/>
      <c r="I77" s="11"/>
      <c r="J77" s="10" t="n">
        <f aca="false">MAX(0,F77-N(I77))</f>
        <v>14</v>
      </c>
    </row>
    <row r="78" customFormat="false" ht="15" hidden="false" customHeight="false" outlineLevel="0" collapsed="false">
      <c r="A78" s="7" t="s">
        <v>150</v>
      </c>
      <c r="B78" s="8" t="s">
        <v>142</v>
      </c>
      <c r="C78" s="8" t="s">
        <v>151</v>
      </c>
      <c r="D78" s="9" t="n">
        <v>4</v>
      </c>
      <c r="E78" s="9"/>
      <c r="F78" s="10" t="n">
        <f aca="false">SUM(D78:E78)</f>
        <v>4</v>
      </c>
      <c r="G78" s="9" t="n">
        <v>1</v>
      </c>
      <c r="H78" s="10"/>
      <c r="I78" s="11"/>
      <c r="J78" s="10" t="n">
        <f aca="false">MAX(0,F78-N(I78))</f>
        <v>4</v>
      </c>
    </row>
    <row r="79" customFormat="false" ht="15" hidden="false" customHeight="false" outlineLevel="0" collapsed="false">
      <c r="A79" s="7" t="s">
        <v>42</v>
      </c>
      <c r="B79" s="8" t="s">
        <v>142</v>
      </c>
      <c r="C79" s="8" t="s">
        <v>44</v>
      </c>
      <c r="D79" s="9"/>
      <c r="E79" s="9" t="n">
        <v>2</v>
      </c>
      <c r="F79" s="10" t="n">
        <f aca="false">SUM(D79:E79)</f>
        <v>2</v>
      </c>
      <c r="G79" s="9"/>
      <c r="H79" s="10"/>
      <c r="I79" s="11"/>
      <c r="J79" s="10" t="n">
        <f aca="false">MAX(0,F79-N(I79))</f>
        <v>2</v>
      </c>
    </row>
    <row r="80" customFormat="false" ht="15" hidden="false" customHeight="false" outlineLevel="0" collapsed="false">
      <c r="A80" s="7" t="s">
        <v>152</v>
      </c>
      <c r="B80" s="8" t="s">
        <v>142</v>
      </c>
      <c r="C80" s="8" t="s">
        <v>153</v>
      </c>
      <c r="D80" s="9" t="n">
        <v>18</v>
      </c>
      <c r="E80" s="9" t="n">
        <v>4</v>
      </c>
      <c r="F80" s="10" t="n">
        <f aca="false">SUM(D80:E80)</f>
        <v>22</v>
      </c>
      <c r="G80" s="9" t="n">
        <v>3</v>
      </c>
      <c r="H80" s="10" t="s">
        <v>45</v>
      </c>
      <c r="I80" s="11"/>
      <c r="J80" s="10" t="n">
        <f aca="false">MAX(0,F80-N(I80))</f>
        <v>22</v>
      </c>
    </row>
    <row r="81" customFormat="false" ht="15" hidden="false" customHeight="false" outlineLevel="0" collapsed="false">
      <c r="A81" s="7" t="s">
        <v>154</v>
      </c>
      <c r="B81" s="8" t="s">
        <v>142</v>
      </c>
      <c r="C81" s="8" t="s">
        <v>155</v>
      </c>
      <c r="D81" s="9"/>
      <c r="E81" s="9" t="n">
        <v>12</v>
      </c>
      <c r="F81" s="10" t="n">
        <f aca="false">SUM(D81:E81)</f>
        <v>12</v>
      </c>
      <c r="G81" s="9" t="n">
        <v>4</v>
      </c>
      <c r="H81" s="10" t="s">
        <v>45</v>
      </c>
      <c r="I81" s="11"/>
      <c r="J81" s="10" t="n">
        <f aca="false">MAX(0,F81-N(I81))</f>
        <v>12</v>
      </c>
    </row>
    <row r="82" customFormat="false" ht="15" hidden="false" customHeight="false" outlineLevel="0" collapsed="false">
      <c r="A82" s="7" t="s">
        <v>156</v>
      </c>
      <c r="B82" s="8" t="s">
        <v>142</v>
      </c>
      <c r="C82" s="8" t="s">
        <v>157</v>
      </c>
      <c r="D82" s="9" t="n">
        <v>2</v>
      </c>
      <c r="E82" s="9"/>
      <c r="F82" s="10" t="n">
        <f aca="false">SUM(D82:E82)</f>
        <v>2</v>
      </c>
      <c r="G82" s="9" t="n">
        <v>1</v>
      </c>
      <c r="H82" s="10"/>
      <c r="I82" s="11"/>
      <c r="J82" s="10" t="n">
        <f aca="false">MAX(0,F82-N(I82))</f>
        <v>2</v>
      </c>
    </row>
    <row r="83" customFormat="false" ht="15" hidden="false" customHeight="false" outlineLevel="0" collapsed="false">
      <c r="A83" s="7" t="s">
        <v>68</v>
      </c>
      <c r="B83" s="8" t="s">
        <v>142</v>
      </c>
      <c r="C83" s="8" t="s">
        <v>69</v>
      </c>
      <c r="D83" s="9"/>
      <c r="E83" s="9" t="n">
        <v>24</v>
      </c>
      <c r="F83" s="10" t="n">
        <f aca="false">SUM(D83:E83)</f>
        <v>24</v>
      </c>
      <c r="G83" s="9" t="n">
        <v>2</v>
      </c>
      <c r="H83" s="10"/>
      <c r="I83" s="11"/>
      <c r="J83" s="10" t="n">
        <f aca="false">MAX(0,F83-N(I83))</f>
        <v>24</v>
      </c>
    </row>
    <row r="84" customFormat="false" ht="15" hidden="false" customHeight="false" outlineLevel="0" collapsed="false">
      <c r="A84" s="7" t="s">
        <v>121</v>
      </c>
      <c r="B84" s="8" t="s">
        <v>142</v>
      </c>
      <c r="C84" s="8" t="s">
        <v>158</v>
      </c>
      <c r="D84" s="9"/>
      <c r="E84" s="9" t="n">
        <v>20</v>
      </c>
      <c r="F84" s="10" t="n">
        <f aca="false">SUM(D84:E84)</f>
        <v>20</v>
      </c>
      <c r="G84" s="9"/>
      <c r="H84" s="10"/>
      <c r="I84" s="11"/>
      <c r="J84" s="10" t="n">
        <f aca="false">MAX(0,F84-N(I84))</f>
        <v>20</v>
      </c>
    </row>
    <row r="85" customFormat="false" ht="15" hidden="false" customHeight="false" outlineLevel="0" collapsed="false">
      <c r="A85" s="7" t="s">
        <v>159</v>
      </c>
      <c r="B85" s="8" t="s">
        <v>142</v>
      </c>
      <c r="C85" s="8" t="s">
        <v>160</v>
      </c>
      <c r="D85" s="9"/>
      <c r="E85" s="9" t="n">
        <v>4</v>
      </c>
      <c r="F85" s="10" t="n">
        <f aca="false">SUM(D85:E85)</f>
        <v>4</v>
      </c>
      <c r="G85" s="9"/>
      <c r="H85" s="10"/>
      <c r="I85" s="11"/>
      <c r="J85" s="10" t="n">
        <f aca="false">MAX(0,F85-N(I85))</f>
        <v>4</v>
      </c>
    </row>
    <row r="86" customFormat="false" ht="15" hidden="false" customHeight="false" outlineLevel="0" collapsed="false">
      <c r="A86" s="7" t="s">
        <v>161</v>
      </c>
      <c r="B86" s="8" t="s">
        <v>142</v>
      </c>
      <c r="C86" s="8" t="s">
        <v>162</v>
      </c>
      <c r="D86" s="9"/>
      <c r="E86" s="9" t="n">
        <v>12</v>
      </c>
      <c r="F86" s="10" t="n">
        <f aca="false">SUM(D86:E86)</f>
        <v>12</v>
      </c>
      <c r="G86" s="9"/>
      <c r="H86" s="10"/>
      <c r="I86" s="11"/>
      <c r="J86" s="10" t="n">
        <f aca="false">MAX(0,F86-N(I86))</f>
        <v>12</v>
      </c>
    </row>
    <row r="87" customFormat="false" ht="15" hidden="false" customHeight="false" outlineLevel="0" collapsed="false">
      <c r="A87" s="7" t="s">
        <v>163</v>
      </c>
      <c r="B87" s="8" t="s">
        <v>142</v>
      </c>
      <c r="C87" s="8" t="s">
        <v>164</v>
      </c>
      <c r="D87" s="9" t="n">
        <v>4</v>
      </c>
      <c r="E87" s="9"/>
      <c r="F87" s="10" t="n">
        <f aca="false">SUM(D87:E87)</f>
        <v>4</v>
      </c>
      <c r="G87" s="9"/>
      <c r="H87" s="10"/>
      <c r="I87" s="11"/>
      <c r="J87" s="10" t="n">
        <f aca="false">MAX(0,F87-N(I87))</f>
        <v>4</v>
      </c>
    </row>
    <row r="88" customFormat="false" ht="15" hidden="false" customHeight="false" outlineLevel="0" collapsed="false">
      <c r="A88" s="7" t="s">
        <v>42</v>
      </c>
      <c r="B88" s="8" t="s">
        <v>165</v>
      </c>
      <c r="C88" s="8" t="s">
        <v>44</v>
      </c>
      <c r="D88" s="9" t="n">
        <v>2</v>
      </c>
      <c r="E88" s="9"/>
      <c r="F88" s="10" t="n">
        <f aca="false">SUM(D88:E88)</f>
        <v>2</v>
      </c>
      <c r="G88" s="9"/>
      <c r="H88" s="10"/>
      <c r="I88" s="11"/>
      <c r="J88" s="10" t="n">
        <f aca="false">MAX(0,F88-N(I88))</f>
        <v>2</v>
      </c>
    </row>
    <row r="89" customFormat="false" ht="15" hidden="false" customHeight="false" outlineLevel="0" collapsed="false">
      <c r="A89" s="7" t="s">
        <v>166</v>
      </c>
      <c r="B89" s="8" t="s">
        <v>165</v>
      </c>
      <c r="C89" s="8" t="s">
        <v>167</v>
      </c>
      <c r="D89" s="9" t="n">
        <v>4</v>
      </c>
      <c r="E89" s="9"/>
      <c r="F89" s="10" t="n">
        <f aca="false">SUM(D89:E89)</f>
        <v>4</v>
      </c>
      <c r="G89" s="9"/>
      <c r="H89" s="10"/>
      <c r="I89" s="11"/>
      <c r="J89" s="10" t="n">
        <f aca="false">MAX(0,F89-N(I89))</f>
        <v>4</v>
      </c>
    </row>
    <row r="90" customFormat="false" ht="15" hidden="false" customHeight="false" outlineLevel="0" collapsed="false">
      <c r="A90" s="7" t="s">
        <v>168</v>
      </c>
      <c r="B90" s="8" t="s">
        <v>165</v>
      </c>
      <c r="C90" s="8" t="s">
        <v>169</v>
      </c>
      <c r="D90" s="9" t="n">
        <v>3</v>
      </c>
      <c r="E90" s="9"/>
      <c r="F90" s="10" t="n">
        <f aca="false">SUM(D90:E90)</f>
        <v>3</v>
      </c>
      <c r="G90" s="9"/>
      <c r="H90" s="10" t="s">
        <v>45</v>
      </c>
      <c r="I90" s="11"/>
      <c r="J90" s="10" t="n">
        <f aca="false">MAX(0,F90-N(I90))</f>
        <v>3</v>
      </c>
    </row>
    <row r="91" customFormat="false" ht="15" hidden="false" customHeight="false" outlineLevel="0" collapsed="false">
      <c r="A91" s="7" t="s">
        <v>170</v>
      </c>
      <c r="B91" s="8" t="s">
        <v>165</v>
      </c>
      <c r="C91" s="8" t="s">
        <v>171</v>
      </c>
      <c r="D91" s="9" t="n">
        <v>7</v>
      </c>
      <c r="E91" s="9"/>
      <c r="F91" s="10" t="n">
        <f aca="false">SUM(D91:E91)</f>
        <v>7</v>
      </c>
      <c r="G91" s="9"/>
      <c r="H91" s="10" t="s">
        <v>45</v>
      </c>
      <c r="I91" s="11"/>
      <c r="J91" s="10" t="n">
        <f aca="false">MAX(0,F91-N(I91))</f>
        <v>7</v>
      </c>
    </row>
    <row r="92" customFormat="false" ht="15" hidden="false" customHeight="false" outlineLevel="0" collapsed="false">
      <c r="A92" s="7" t="s">
        <v>172</v>
      </c>
      <c r="B92" s="8" t="s">
        <v>165</v>
      </c>
      <c r="C92" s="8" t="s">
        <v>173</v>
      </c>
      <c r="D92" s="9" t="n">
        <v>4</v>
      </c>
      <c r="E92" s="9"/>
      <c r="F92" s="10" t="n">
        <f aca="false">SUM(D92:E92)</f>
        <v>4</v>
      </c>
      <c r="G92" s="9"/>
      <c r="H92" s="10"/>
      <c r="I92" s="11"/>
      <c r="J92" s="10" t="n">
        <f aca="false">MAX(0,F92-N(I92))</f>
        <v>4</v>
      </c>
    </row>
    <row r="93" customFormat="false" ht="15" hidden="false" customHeight="false" outlineLevel="0" collapsed="false">
      <c r="A93" s="7" t="s">
        <v>174</v>
      </c>
      <c r="B93" s="8" t="s">
        <v>165</v>
      </c>
      <c r="C93" s="8" t="s">
        <v>175</v>
      </c>
      <c r="D93" s="9" t="n">
        <v>3</v>
      </c>
      <c r="E93" s="9"/>
      <c r="F93" s="10" t="n">
        <f aca="false">SUM(D93:E93)</f>
        <v>3</v>
      </c>
      <c r="G93" s="9"/>
      <c r="H93" s="10"/>
      <c r="I93" s="11"/>
      <c r="J93" s="10" t="n">
        <f aca="false">MAX(0,F93-N(I93))</f>
        <v>3</v>
      </c>
    </row>
    <row r="94" customFormat="false" ht="15" hidden="false" customHeight="false" outlineLevel="0" collapsed="false">
      <c r="A94" s="7" t="s">
        <v>176</v>
      </c>
      <c r="B94" s="8" t="s">
        <v>165</v>
      </c>
      <c r="C94" s="8" t="s">
        <v>177</v>
      </c>
      <c r="D94" s="9" t="n">
        <v>10</v>
      </c>
      <c r="E94" s="9"/>
      <c r="F94" s="10" t="n">
        <f aca="false">SUM(D94:E94)</f>
        <v>10</v>
      </c>
      <c r="G94" s="9"/>
      <c r="H94" s="10"/>
      <c r="I94" s="11"/>
      <c r="J94" s="10" t="n">
        <f aca="false">MAX(0,F94-N(I94))</f>
        <v>10</v>
      </c>
    </row>
    <row r="95" customFormat="false" ht="15" hidden="false" customHeight="false" outlineLevel="0" collapsed="false">
      <c r="A95" s="7" t="s">
        <v>163</v>
      </c>
      <c r="B95" s="8" t="s">
        <v>165</v>
      </c>
      <c r="C95" s="8" t="s">
        <v>164</v>
      </c>
      <c r="D95" s="9" t="n">
        <v>32</v>
      </c>
      <c r="E95" s="9"/>
      <c r="F95" s="10" t="n">
        <f aca="false">SUM(D95:E95)</f>
        <v>32</v>
      </c>
      <c r="G95" s="9"/>
      <c r="H95" s="10"/>
      <c r="I95" s="11"/>
      <c r="J95" s="10" t="n">
        <f aca="false">MAX(0,F95-N(I95))</f>
        <v>32</v>
      </c>
    </row>
    <row r="96" customFormat="false" ht="15" hidden="false" customHeight="false" outlineLevel="0" collapsed="false">
      <c r="A96" s="7" t="s">
        <v>178</v>
      </c>
      <c r="B96" s="8" t="s">
        <v>165</v>
      </c>
      <c r="C96" s="8" t="s">
        <v>179</v>
      </c>
      <c r="D96" s="9" t="n">
        <v>3</v>
      </c>
      <c r="E96" s="9"/>
      <c r="F96" s="10" t="n">
        <f aca="false">SUM(D96:E96)</f>
        <v>3</v>
      </c>
      <c r="G96" s="9"/>
      <c r="H96" s="10" t="s">
        <v>45</v>
      </c>
      <c r="I96" s="11"/>
      <c r="J96" s="10" t="n">
        <f aca="false">MAX(0,F96-N(I96))</f>
        <v>3</v>
      </c>
    </row>
    <row r="97" customFormat="false" ht="15" hidden="false" customHeight="false" outlineLevel="0" collapsed="false">
      <c r="A97" s="7" t="s">
        <v>134</v>
      </c>
      <c r="B97" s="8" t="s">
        <v>165</v>
      </c>
      <c r="C97" s="8" t="s">
        <v>135</v>
      </c>
      <c r="D97" s="9" t="n">
        <v>3</v>
      </c>
      <c r="E97" s="9"/>
      <c r="F97" s="10" t="n">
        <f aca="false">SUM(D97:E97)</f>
        <v>3</v>
      </c>
      <c r="G97" s="9"/>
      <c r="H97" s="10"/>
      <c r="I97" s="11"/>
      <c r="J97" s="10" t="n">
        <f aca="false">MAX(0,F97-N(I97))</f>
        <v>3</v>
      </c>
    </row>
    <row r="98" customFormat="false" ht="15" hidden="false" customHeight="false" outlineLevel="0" collapsed="false">
      <c r="A98" s="7" t="s">
        <v>180</v>
      </c>
      <c r="B98" s="8" t="s">
        <v>181</v>
      </c>
      <c r="C98" s="8" t="s">
        <v>182</v>
      </c>
      <c r="D98" s="9" t="n">
        <v>6</v>
      </c>
      <c r="E98" s="9"/>
      <c r="F98" s="10" t="n">
        <f aca="false">SUM(D98:E98)</f>
        <v>6</v>
      </c>
      <c r="G98" s="9"/>
      <c r="H98" s="10"/>
      <c r="I98" s="11"/>
      <c r="J98" s="10" t="n">
        <f aca="false">MAX(0,F98-N(I98))</f>
        <v>6</v>
      </c>
    </row>
    <row r="99" customFormat="false" ht="15" hidden="false" customHeight="false" outlineLevel="0" collapsed="false">
      <c r="A99" s="7" t="s">
        <v>183</v>
      </c>
      <c r="B99" s="8" t="s">
        <v>181</v>
      </c>
      <c r="C99" s="8" t="s">
        <v>184</v>
      </c>
      <c r="D99" s="9" t="n">
        <v>12</v>
      </c>
      <c r="E99" s="9"/>
      <c r="F99" s="10" t="n">
        <f aca="false">SUM(D99:E99)</f>
        <v>12</v>
      </c>
      <c r="G99" s="9"/>
      <c r="H99" s="10" t="s">
        <v>45</v>
      </c>
      <c r="I99" s="11"/>
      <c r="J99" s="10" t="n">
        <f aca="false">MAX(0,F99-N(I99))</f>
        <v>12</v>
      </c>
    </row>
    <row r="100" customFormat="false" ht="15" hidden="false" customHeight="false" outlineLevel="0" collapsed="false">
      <c r="A100" s="7" t="s">
        <v>185</v>
      </c>
      <c r="B100" s="8" t="s">
        <v>181</v>
      </c>
      <c r="C100" s="8" t="s">
        <v>186</v>
      </c>
      <c r="D100" s="9" t="n">
        <v>3</v>
      </c>
      <c r="E100" s="9"/>
      <c r="F100" s="10" t="n">
        <f aca="false">SUM(D100:E100)</f>
        <v>3</v>
      </c>
      <c r="G100" s="9"/>
      <c r="H100" s="10"/>
      <c r="I100" s="11"/>
      <c r="J100" s="10" t="n">
        <f aca="false">MAX(0,F100-N(I100))</f>
        <v>3</v>
      </c>
    </row>
    <row r="101" customFormat="false" ht="15" hidden="false" customHeight="false" outlineLevel="0" collapsed="false">
      <c r="A101" s="7" t="s">
        <v>187</v>
      </c>
      <c r="B101" s="8" t="s">
        <v>181</v>
      </c>
      <c r="C101" s="8" t="s">
        <v>188</v>
      </c>
      <c r="D101" s="9" t="n">
        <v>12</v>
      </c>
      <c r="E101" s="9"/>
      <c r="F101" s="10" t="n">
        <f aca="false">SUM(D101:E101)</f>
        <v>12</v>
      </c>
      <c r="G101" s="9"/>
      <c r="H101" s="10"/>
      <c r="I101" s="11"/>
      <c r="J101" s="10" t="n">
        <f aca="false">MAX(0,F101-N(I101))</f>
        <v>12</v>
      </c>
    </row>
    <row r="102" customFormat="false" ht="15" hidden="false" customHeight="false" outlineLevel="0" collapsed="false">
      <c r="A102" s="7" t="s">
        <v>114</v>
      </c>
      <c r="B102" s="8" t="s">
        <v>189</v>
      </c>
      <c r="C102" s="8" t="s">
        <v>116</v>
      </c>
      <c r="D102" s="9" t="n">
        <v>3</v>
      </c>
      <c r="E102" s="9"/>
      <c r="F102" s="10" t="n">
        <f aca="false">SUM(D102:E102)</f>
        <v>3</v>
      </c>
      <c r="G102" s="9"/>
      <c r="H102" s="10"/>
      <c r="I102" s="11"/>
      <c r="J102" s="10" t="n">
        <f aca="false">MAX(0,F102-N(I102))</f>
        <v>3</v>
      </c>
    </row>
    <row r="103" customFormat="false" ht="15" hidden="false" customHeight="false" outlineLevel="0" collapsed="false">
      <c r="A103" s="7" t="s">
        <v>46</v>
      </c>
      <c r="B103" s="8" t="s">
        <v>189</v>
      </c>
      <c r="C103" s="8" t="s">
        <v>47</v>
      </c>
      <c r="D103" s="9"/>
      <c r="E103" s="9" t="n">
        <v>37</v>
      </c>
      <c r="F103" s="10" t="n">
        <f aca="false">SUM(D103:E103)</f>
        <v>37</v>
      </c>
      <c r="G103" s="9"/>
      <c r="H103" s="10" t="s">
        <v>45</v>
      </c>
      <c r="I103" s="11"/>
      <c r="J103" s="10" t="n">
        <f aca="false">MAX(0,F103-N(I103))</f>
        <v>37</v>
      </c>
    </row>
    <row r="104" customFormat="false" ht="15" hidden="false" customHeight="false" outlineLevel="0" collapsed="false">
      <c r="A104" s="7" t="s">
        <v>190</v>
      </c>
      <c r="B104" s="8" t="s">
        <v>189</v>
      </c>
      <c r="C104" s="8" t="s">
        <v>191</v>
      </c>
      <c r="D104" s="9" t="n">
        <v>12</v>
      </c>
      <c r="E104" s="9"/>
      <c r="F104" s="10" t="n">
        <f aca="false">SUM(D104:E104)</f>
        <v>12</v>
      </c>
      <c r="G104" s="9"/>
      <c r="H104" s="10"/>
      <c r="I104" s="11"/>
      <c r="J104" s="10" t="n">
        <f aca="false">MAX(0,F104-N(I104))</f>
        <v>12</v>
      </c>
    </row>
    <row r="105" customFormat="false" ht="15" hidden="false" customHeight="false" outlineLevel="0" collapsed="false">
      <c r="A105" s="7" t="s">
        <v>48</v>
      </c>
      <c r="B105" s="8" t="s">
        <v>189</v>
      </c>
      <c r="C105" s="8" t="s">
        <v>49</v>
      </c>
      <c r="D105" s="9" t="n">
        <v>3</v>
      </c>
      <c r="E105" s="9"/>
      <c r="F105" s="10" t="n">
        <f aca="false">SUM(D105:E105)</f>
        <v>3</v>
      </c>
      <c r="G105" s="9" t="n">
        <v>1</v>
      </c>
      <c r="H105" s="10"/>
      <c r="I105" s="11"/>
      <c r="J105" s="10" t="n">
        <f aca="false">MAX(0,F105-N(I105))</f>
        <v>3</v>
      </c>
    </row>
    <row r="106" customFormat="false" ht="15" hidden="false" customHeight="false" outlineLevel="0" collapsed="false">
      <c r="A106" s="7" t="s">
        <v>50</v>
      </c>
      <c r="B106" s="8" t="s">
        <v>189</v>
      </c>
      <c r="C106" s="8" t="s">
        <v>51</v>
      </c>
      <c r="D106" s="9"/>
      <c r="E106" s="9" t="n">
        <v>6</v>
      </c>
      <c r="F106" s="10" t="n">
        <f aca="false">SUM(D106:E106)</f>
        <v>6</v>
      </c>
      <c r="G106" s="9" t="n">
        <v>1</v>
      </c>
      <c r="H106" s="10"/>
      <c r="I106" s="11"/>
      <c r="J106" s="10" t="n">
        <f aca="false">MAX(0,F106-N(I106))</f>
        <v>6</v>
      </c>
    </row>
    <row r="107" customFormat="false" ht="15" hidden="false" customHeight="false" outlineLevel="0" collapsed="false">
      <c r="A107" s="7" t="s">
        <v>192</v>
      </c>
      <c r="B107" s="8" t="s">
        <v>189</v>
      </c>
      <c r="C107" s="8" t="s">
        <v>193</v>
      </c>
      <c r="D107" s="9" t="n">
        <v>48</v>
      </c>
      <c r="E107" s="9"/>
      <c r="F107" s="10" t="n">
        <f aca="false">SUM(D107:E107)</f>
        <v>48</v>
      </c>
      <c r="G107" s="9"/>
      <c r="H107" s="10" t="s">
        <v>45</v>
      </c>
      <c r="I107" s="11"/>
      <c r="J107" s="10" t="n">
        <f aca="false">MAX(0,F107-N(I107))</f>
        <v>48</v>
      </c>
    </row>
    <row r="108" customFormat="false" ht="15" hidden="false" customHeight="false" outlineLevel="0" collapsed="false">
      <c r="A108" s="7" t="s">
        <v>194</v>
      </c>
      <c r="B108" s="8" t="s">
        <v>195</v>
      </c>
      <c r="C108" s="8" t="s">
        <v>196</v>
      </c>
      <c r="D108" s="9" t="n">
        <v>4</v>
      </c>
      <c r="E108" s="9"/>
      <c r="F108" s="10" t="n">
        <f aca="false">SUM(D108:E108)</f>
        <v>4</v>
      </c>
      <c r="G108" s="9"/>
      <c r="H108" s="10"/>
      <c r="I108" s="11"/>
      <c r="J108" s="10" t="n">
        <f aca="false">MAX(0,F108-N(I108))</f>
        <v>4</v>
      </c>
    </row>
    <row r="109" customFormat="false" ht="15" hidden="false" customHeight="false" outlineLevel="0" collapsed="false">
      <c r="A109" s="7" t="s">
        <v>197</v>
      </c>
      <c r="B109" s="8" t="s">
        <v>195</v>
      </c>
      <c r="C109" s="8" t="s">
        <v>198</v>
      </c>
      <c r="D109" s="9" t="n">
        <v>2</v>
      </c>
      <c r="E109" s="9"/>
      <c r="F109" s="10" t="n">
        <f aca="false">SUM(D109:E109)</f>
        <v>2</v>
      </c>
      <c r="G109" s="9"/>
      <c r="H109" s="10" t="s">
        <v>45</v>
      </c>
      <c r="I109" s="11"/>
      <c r="J109" s="10" t="n">
        <f aca="false">MAX(0,F109-N(I109))</f>
        <v>2</v>
      </c>
    </row>
    <row r="110" customFormat="false" ht="15" hidden="false" customHeight="false" outlineLevel="0" collapsed="false">
      <c r="A110" s="7" t="s">
        <v>119</v>
      </c>
      <c r="B110" s="8" t="s">
        <v>195</v>
      </c>
      <c r="C110" s="8" t="s">
        <v>120</v>
      </c>
      <c r="D110" s="9" t="n">
        <v>1</v>
      </c>
      <c r="E110" s="9"/>
      <c r="F110" s="10" t="n">
        <f aca="false">SUM(D110:E110)</f>
        <v>1</v>
      </c>
      <c r="G110" s="9"/>
      <c r="H110" s="10"/>
      <c r="I110" s="11"/>
      <c r="J110" s="10" t="n">
        <f aca="false">MAX(0,F110-N(I110))</f>
        <v>1</v>
      </c>
    </row>
    <row r="111" customFormat="false" ht="15" hidden="false" customHeight="false" outlineLevel="0" collapsed="false">
      <c r="A111" s="7" t="s">
        <v>105</v>
      </c>
      <c r="B111" s="8" t="s">
        <v>195</v>
      </c>
      <c r="C111" s="8" t="s">
        <v>107</v>
      </c>
      <c r="D111" s="9" t="n">
        <v>4</v>
      </c>
      <c r="E111" s="9"/>
      <c r="F111" s="10" t="n">
        <f aca="false">SUM(D111:E111)</f>
        <v>4</v>
      </c>
      <c r="G111" s="9"/>
      <c r="H111" s="10"/>
      <c r="I111" s="11"/>
      <c r="J111" s="10" t="n">
        <f aca="false">MAX(0,F111-N(I111))</f>
        <v>4</v>
      </c>
    </row>
    <row r="112" customFormat="false" ht="15" hidden="false" customHeight="false" outlineLevel="0" collapsed="false">
      <c r="A112" s="7" t="s">
        <v>199</v>
      </c>
      <c r="B112" s="8" t="s">
        <v>195</v>
      </c>
      <c r="C112" s="8" t="s">
        <v>200</v>
      </c>
      <c r="D112" s="9" t="n">
        <v>6</v>
      </c>
      <c r="E112" s="9"/>
      <c r="F112" s="10" t="n">
        <f aca="false">SUM(D112:E112)</f>
        <v>6</v>
      </c>
      <c r="G112" s="9"/>
      <c r="H112" s="10" t="s">
        <v>45</v>
      </c>
      <c r="I112" s="11"/>
      <c r="J112" s="10" t="n">
        <f aca="false">MAX(0,F112-N(I112))</f>
        <v>6</v>
      </c>
    </row>
    <row r="113" customFormat="false" ht="15" hidden="false" customHeight="false" outlineLevel="0" collapsed="false">
      <c r="A113" s="7" t="s">
        <v>190</v>
      </c>
      <c r="B113" s="8" t="s">
        <v>201</v>
      </c>
      <c r="C113" s="8" t="s">
        <v>191</v>
      </c>
      <c r="D113" s="9" t="n">
        <v>8</v>
      </c>
      <c r="E113" s="9"/>
      <c r="F113" s="10" t="n">
        <f aca="false">SUM(D113:E113)</f>
        <v>8</v>
      </c>
      <c r="G113" s="9"/>
      <c r="H113" s="10"/>
      <c r="I113" s="11"/>
      <c r="J113" s="10" t="n">
        <f aca="false">MAX(0,F113-N(I113))</f>
        <v>8</v>
      </c>
    </row>
    <row r="114" customFormat="false" ht="15" hidden="false" customHeight="false" outlineLevel="0" collapsed="false">
      <c r="C114" s="3" t="s">
        <v>202</v>
      </c>
      <c r="D114" s="12" t="n">
        <f aca="false">SUM(D12:D113)</f>
        <v>756</v>
      </c>
      <c r="E114" s="12" t="n">
        <f aca="false">SUM(E12:E113)</f>
        <v>438</v>
      </c>
      <c r="F114" s="12" t="n">
        <f aca="false">SUM(F12:F113)</f>
        <v>1194</v>
      </c>
      <c r="G114" s="12" t="n">
        <f aca="false">SUM(G12:G113)</f>
        <v>29</v>
      </c>
      <c r="I114" s="12" t="n">
        <f aca="false">SUM(I12:I113)</f>
        <v>0</v>
      </c>
      <c r="J114" s="12" t="n">
        <f aca="false">SUM(J12:J113)</f>
        <v>1194</v>
      </c>
    </row>
  </sheetData>
  <autoFilter ref="A11:J113"/>
  <conditionalFormatting sqref="J12:J113">
    <cfRule type="expression" priority="2" aboveAverage="0" equalAverage="0" bottom="0" percent="0" rank="0" text="" dxfId="5">
      <formula>AND(N($I12)&gt;0,$J12=0)</formula>
    </cfRule>
    <cfRule type="expression" priority="3" aboveAverage="0" equalAverage="0" bottom="0" percent="0" rank="0" text="" dxfId="6">
      <formula>AND(N($I12)&gt;0,$J12&gt;0)</formula>
    </cfRule>
  </conditionalFormatting>
  <dataValidations count="1">
    <dataValidation allowBlank="true" error="Enter a whole number of 0 or more." errorStyle="stop" operator="greaterThanOrEqual" showDropDown="false" showErrorMessage="true" showInputMessage="false" sqref="I12:I113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55"/>
  </cols>
  <sheetData>
    <row r="1" customFormat="false" ht="15" hidden="false" customHeight="false" outlineLevel="0" collapsed="false">
      <c r="A1" s="3" t="s">
        <v>203</v>
      </c>
      <c r="B1" s="3" t="s">
        <v>204</v>
      </c>
      <c r="C1" s="3" t="s">
        <v>205</v>
      </c>
      <c r="D1" s="3" t="s">
        <v>206</v>
      </c>
    </row>
    <row r="2" customFormat="false" ht="15" hidden="false" customHeight="false" outlineLevel="0" collapsed="false">
      <c r="A2" s="13" t="s">
        <v>207</v>
      </c>
      <c r="B2" s="13" t="n">
        <f aca="false">SUM('Parts checklist'!D12:D113)</f>
        <v>756</v>
      </c>
      <c r="C2" s="13" t="n">
        <v>9</v>
      </c>
      <c r="D2" s="13" t="s">
        <v>208</v>
      </c>
    </row>
    <row r="3" customFormat="false" ht="15" hidden="false" customHeight="false" outlineLevel="0" collapsed="false">
      <c r="A3" s="13" t="s">
        <v>209</v>
      </c>
      <c r="B3" s="13" t="n">
        <f aca="false">SUM('Parts checklist'!E12:E113)</f>
        <v>438</v>
      </c>
      <c r="C3" s="13" t="n">
        <v>20</v>
      </c>
      <c r="D3" s="13" t="s">
        <v>210</v>
      </c>
    </row>
    <row r="5" customFormat="false" ht="15" hidden="false" customHeight="false" outlineLevel="0" collapsed="false">
      <c r="A5" s="3" t="s">
        <v>211</v>
      </c>
    </row>
    <row r="6" customFormat="false" ht="31.5" hidden="false" customHeight="true" outlineLevel="0" collapsed="false">
      <c r="A6" s="14" t="s">
        <v>212</v>
      </c>
      <c r="B6" s="14"/>
      <c r="C6" s="14"/>
      <c r="D6" s="14"/>
    </row>
    <row r="7" customFormat="false" ht="31.5" hidden="false" customHeight="true" outlineLevel="0" collapsed="false">
      <c r="A7" s="14" t="s">
        <v>213</v>
      </c>
      <c r="B7" s="14"/>
      <c r="C7" s="14"/>
      <c r="D7" s="14"/>
    </row>
    <row r="8" customFormat="false" ht="31.5" hidden="false" customHeight="true" outlineLevel="0" collapsed="false">
      <c r="A8" s="14" t="s">
        <v>214</v>
      </c>
      <c r="B8" s="14"/>
      <c r="C8" s="14"/>
      <c r="D8" s="14"/>
    </row>
    <row r="9" customFormat="false" ht="31.5" hidden="false" customHeight="true" outlineLevel="0" collapsed="false">
      <c r="A9" s="14" t="s">
        <v>215</v>
      </c>
      <c r="B9" s="14"/>
      <c r="C9" s="14"/>
      <c r="D9" s="14"/>
    </row>
  </sheetData>
  <mergeCells count="4">
    <mergeCell ref="A6:D6"/>
    <mergeCell ref="A7:D7"/>
    <mergeCell ref="A8:D8"/>
    <mergeCell ref="A9:D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2026-10-06T09:51:14Z</dcterms:created>
  <dc:creator>openpyxl</dc:creator>
  <dc:description/>
  <dc:language>en-US</dc:language>
  <cp:lastModifiedBy/>
  <dcterms:modified xsi:type="dcterms:W3CDTF">2026-10-06T09:51:14Z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